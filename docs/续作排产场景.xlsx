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2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<sst xmlns="http://schemas.openxmlformats.org/spreadsheetml/2006/main" count="75">
  <si>
    <t>非收尾</t>
  </si>
  <si>
    <t>每天需排产量</t>
  </si>
  <si>
    <t>第一个场景续作：</t>
  </si>
  <si>
    <t>累计欠产量</t>
  </si>
  <si>
    <t>日排产总计划量</t>
  </si>
  <si>
    <t>排程日期为5月3日的排程结果：</t>
  </si>
  <si>
    <t>月计划日排产量</t>
  </si>
  <si>
    <t>先继续排产</t>
  </si>
  <si>
    <t>1号</t>
  </si>
  <si>
    <t>2号</t>
  </si>
  <si>
    <t>3号</t>
  </si>
  <si>
    <t>day1</t>
  </si>
  <si>
    <t>day2</t>
  </si>
  <si>
    <t>day3</t>
  </si>
  <si>
    <t>机台</t>
  </si>
  <si>
    <t>计划物料</t>
  </si>
  <si>
    <t>班产</t>
  </si>
  <si>
    <t>完成量</t>
  </si>
  <si>
    <t>硫化余量</t>
  </si>
  <si>
    <t>排产类型</t>
  </si>
  <si>
    <t>早</t>
  </si>
  <si>
    <t>中</t>
  </si>
  <si>
    <t>夜</t>
  </si>
  <si>
    <t>K1511</t>
  </si>
  <si>
    <t>续作</t>
  </si>
  <si>
    <t>K1606</t>
  </si>
  <si>
    <t>K1701</t>
  </si>
  <si>
    <t>K1912</t>
  </si>
  <si>
    <t>K1709</t>
  </si>
  <si>
    <t>备注：T日需扣除完成量作为T日需排产量</t>
  </si>
  <si>
    <t>第二个场景续作：</t>
  </si>
  <si>
    <t>K2022</t>
  </si>
  <si>
    <t>K1205</t>
  </si>
  <si>
    <t>K1614</t>
  </si>
  <si>
    <t>K1906</t>
  </si>
  <si>
    <t>K1412</t>
  </si>
  <si>
    <t>备注：这台为下机的机台，第一天下机</t>
  </si>
  <si>
    <t>第三个场景续作：</t>
  </si>
  <si>
    <t>K1601</t>
  </si>
  <si>
    <t>K1801</t>
  </si>
  <si>
    <t>K1505</t>
  </si>
  <si>
    <t>K1504</t>
  </si>
  <si>
    <t>K1213</t>
  </si>
  <si>
    <t>备注：降模，减多机台，第一天下机2个机台，早班下机：K1504、K1213；第二天下机1个机台，晚班下机：K1505</t>
  </si>
  <si>
    <t>第四个场景续作：</t>
  </si>
  <si>
    <t>K1307</t>
  </si>
  <si>
    <t>备注：非收尾，续作是单机台情况，即使是超产，也需要排满3天8个班次的计划量</t>
  </si>
  <si>
    <t>月计划5月2日有排产量，机台没有被其他sku排上情况</t>
  </si>
  <si>
    <t>第五个场景续作：</t>
  </si>
  <si>
    <t>K1406</t>
  </si>
  <si>
    <t>K1712</t>
  </si>
  <si>
    <t>备注：月计划日排产第一天没有排产量，第二天开始有排产量，续作机台上机排产需从有计划量的第二天开始排；续作有两台，因为一台：K1406 已经满足8个班次的需排产量，所以第一天得下机另一台：K1712，有超产也没关系，只要是非收尾就得排满后续的其他班次计划量</t>
  </si>
  <si>
    <t>第六个场景续作：</t>
  </si>
  <si>
    <t>K2016</t>
  </si>
  <si>
    <t>换模</t>
  </si>
  <si>
    <t>K1509</t>
  </si>
  <si>
    <t>K1108</t>
  </si>
  <si>
    <t>K2006</t>
  </si>
  <si>
    <t>K1716</t>
  </si>
  <si>
    <t>K1715</t>
  </si>
  <si>
    <t>K1910</t>
  </si>
  <si>
    <t>备注：</t>
  </si>
  <si>
    <t>1、由于续作的sku：3302001077 的月计划开始时间5月4日才有排产量；月计划日排产前面三天（day1 ~ day3）没有排产量，第四天开始有日排产量，在线机台可以上续作，但是还没开始排产，但是符合条件其他sku，需走新增逻辑的排产</t>
  </si>
  <si>
    <t>2、也就是说续作SKU：3302001077 ，在本次排程的月计划日排产量（T~T+2）为0，本次续作SKU不进行排产（如 月生产计划有包含这个SKU,本次续作SKU列入未排），但是机台需要留给其他符合的SKU：3302001078 进行换模排产</t>
  </si>
  <si>
    <t>第七个场景续作：</t>
  </si>
  <si>
    <t>K2024</t>
  </si>
  <si>
    <t>K2025</t>
  </si>
  <si>
    <t>1、由于续作 sku  3302002654  的月计划日排产量为50，班产17，第一天排产出现欠产16，第二天排产不能补上前一天的欠产，所以需要增机台，第一天需上两个机台</t>
  </si>
  <si>
    <t>2、第一天新上的机台：K2025，早班换模、中班开始生产，只生产到16，不需要满班产，因为第一天加上另一个机台生产的34，正好满足月计划日排产量50</t>
  </si>
  <si>
    <t>3、以上这种情况下，SKU：3302002654 在新增排产的排序应该排在所属组的最前面，比如这个SKU是正规组，应该排在正规组的最前面，优先挑选机台</t>
  </si>
  <si>
    <t>第八个场景续作：</t>
  </si>
  <si>
    <t>K1105</t>
  </si>
  <si>
    <t>1、第一天这个续作物料，因为月计划日排产量为0，需要释放机台：K1105 给其他非续作的SKU使用，如果其他SKU没排上这个机台,第二天这个SKU才能续作排这个机台，见以上排程结果</t>
  </si>
  <si>
    <t>2、以上这种情况下释放的这个续作机台：K1105，优先级需要排在新增排产机台排序中最后，降低被选中的概率，这样后续第二天的SKU 3302002546 才能有概率选中这个机台</t>
  </si>
  <si>
    <t>3、如果这个机台第一天被其他SKU安排占用，这个续作SKU因为没有续作机台了，后续只能换模排产，第一天换模，第二天开始排产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</si>
</sst>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9" fillId="33" borderId="12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1" fillId="18" borderId="12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3" fillId="20" borderId="13" applyNumberFormat="0" applyAlignment="0" applyProtection="0">
      <alignment vertical="center"/>
    </xf>
    <xf numFmtId="0" fontId="18" fillId="18" borderId="16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0" borderId="10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" fillId="0" borderId="9" applyNumberFormat="0" applyFill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1" fillId="3" borderId="3" xfId="0" applyFont="1" applyFill="1" applyBorder="1">
      <alignment vertical="center"/>
    </xf>
    <xf numFmtId="0" fontId="0" fillId="0" borderId="3" xfId="0" applyBorder="1">
      <alignment vertical="center"/>
    </xf>
    <xf numFmtId="0" fontId="1" fillId="4" borderId="3" xfId="0" applyFont="1" applyFill="1" applyBorder="1">
      <alignment vertical="center"/>
    </xf>
    <xf numFmtId="0" fontId="1" fillId="4" borderId="0" xfId="0" applyFont="1" applyFill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1" fillId="3" borderId="1" xfId="0" applyFont="1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0" borderId="0" xfId="0" applyFont="1" applyFill="1" applyAlignment="1">
      <alignment vertical="center"/>
    </xf>
    <xf numFmtId="0" fontId="1" fillId="0" borderId="2" xfId="0" applyFont="1" applyBorder="1">
      <alignment vertical="center"/>
    </xf>
    <xf numFmtId="0" fontId="1" fillId="0" borderId="0" xfId="0" applyFont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1" fillId="4" borderId="7" xfId="0" applyFont="1" applyFill="1" applyBorder="1">
      <alignment vertical="center"/>
    </xf>
    <xf numFmtId="0" fontId="0" fillId="0" borderId="8" xfId="0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5" xfId="0" applyFill="1" applyBorder="1">
      <alignment vertical="center"/>
    </xf>
    <xf numFmtId="0" fontId="0" fillId="0" borderId="0" xfId="0" applyAlignment="1">
      <alignment vertical="center" wrapText="1"/>
    </xf>
    <xf numFmtId="0" fontId="0" fillId="0" borderId="7" xfId="0" applyBorder="1">
      <alignment vertical="center"/>
    </xf>
    <xf numFmtId="0" fontId="0" fillId="2" borderId="7" xfId="0" applyFill="1" applyBorder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2:O131"/>
  <sheetViews>
    <sheetView tabSelected="1" topLeftCell="A107" workbookViewId="0">
      <selection activeCell="A132" sqref="A132"/>
    </sheetView>
  </sheetViews>
  <sheetFormatPr defaultColWidth="9" defaultRowHeight="16.8"/>
  <cols>
    <col min="1" max="1" width="20.5" customWidth="1"/>
    <col min="2" max="2" width="17.125" customWidth="1"/>
    <col min="3" max="4" width="14.125" customWidth="1"/>
    <col min="5" max="6" width="14.625" customWidth="1"/>
    <col min="11" max="13" width="16.5" customWidth="1"/>
    <col min="15" max="15" width="19.375" customWidth="1"/>
    <col min="21" max="21" width="14.25" customWidth="1"/>
  </cols>
  <sheetData>
    <row r="2" spans="1:14">
      <c r="A2" s="2" t="s">
        <v>0</v>
      </c>
      <c r="B2" s="3"/>
      <c r="C2" s="3"/>
      <c r="D2" s="3"/>
      <c r="E2" s="3"/>
      <c r="F2" s="15" t="s">
        <v>1</v>
      </c>
      <c r="G2" s="3">
        <f>G5-D9</f>
        <v>180</v>
      </c>
      <c r="H2" s="3"/>
      <c r="I2" s="3">
        <f>I5+G3</f>
        <v>270</v>
      </c>
      <c r="J2" s="3"/>
      <c r="K2" s="3"/>
      <c r="L2" s="3">
        <f>L5+J3</f>
        <v>270</v>
      </c>
      <c r="M2" s="3"/>
      <c r="N2" s="17"/>
    </row>
    <row r="3" spans="1:14">
      <c r="A3" s="4" t="s">
        <v>2</v>
      </c>
      <c r="F3" s="16" t="s">
        <v>3</v>
      </c>
      <c r="G3">
        <f>G5-G4-D9</f>
        <v>0</v>
      </c>
      <c r="I3">
        <f>I2-I4</f>
        <v>0</v>
      </c>
      <c r="L3">
        <f>L2-L4</f>
        <v>0</v>
      </c>
      <c r="N3" s="18"/>
    </row>
    <row r="4" spans="1:14">
      <c r="A4" s="5"/>
      <c r="F4" s="16" t="s">
        <v>4</v>
      </c>
      <c r="G4">
        <f>G9+G10+G11+G12+G13+H9+H10+H11+H12+H13</f>
        <v>180</v>
      </c>
      <c r="I4">
        <f>I9+I10+I11+I12+I13+J9+J10+J11+J12+J13+K9+K10+K11+K12+K13</f>
        <v>270</v>
      </c>
      <c r="L4">
        <f>L9+L10+L11+L12+L13+M9+M10+M11+M12+M13+N9+N10+N11+N12+N13</f>
        <v>270</v>
      </c>
      <c r="N4" s="18"/>
    </row>
    <row r="5" spans="1:14">
      <c r="A5" s="5" t="s">
        <v>5</v>
      </c>
      <c r="F5" s="16" t="s">
        <v>6</v>
      </c>
      <c r="G5">
        <v>270</v>
      </c>
      <c r="I5">
        <v>270</v>
      </c>
      <c r="L5">
        <v>270</v>
      </c>
      <c r="N5" s="18"/>
    </row>
    <row r="6" spans="1:14">
      <c r="A6" s="5" t="s">
        <v>7</v>
      </c>
      <c r="G6" s="7" t="s">
        <v>8</v>
      </c>
      <c r="H6" s="7"/>
      <c r="I6" s="7" t="s">
        <v>9</v>
      </c>
      <c r="J6" s="7"/>
      <c r="K6" s="7"/>
      <c r="L6" s="7" t="s">
        <v>10</v>
      </c>
      <c r="N6" s="18"/>
    </row>
    <row r="7" spans="1:14">
      <c r="A7" s="5"/>
      <c r="G7" s="7" t="s">
        <v>11</v>
      </c>
      <c r="H7" s="7"/>
      <c r="I7" s="7" t="s">
        <v>12</v>
      </c>
      <c r="J7" s="7"/>
      <c r="K7" s="7"/>
      <c r="L7" s="7" t="s">
        <v>13</v>
      </c>
      <c r="N7" s="18"/>
    </row>
    <row r="8" spans="1:14">
      <c r="A8" s="6" t="s">
        <v>14</v>
      </c>
      <c r="B8" s="7" t="s">
        <v>15</v>
      </c>
      <c r="C8" s="7" t="s">
        <v>16</v>
      </c>
      <c r="D8" s="7" t="s">
        <v>17</v>
      </c>
      <c r="E8" s="7" t="s">
        <v>18</v>
      </c>
      <c r="F8" s="7" t="s">
        <v>19</v>
      </c>
      <c r="G8" s="7" t="s">
        <v>20</v>
      </c>
      <c r="H8" s="7" t="s">
        <v>21</v>
      </c>
      <c r="I8" s="7" t="s">
        <v>22</v>
      </c>
      <c r="J8" s="7" t="s">
        <v>20</v>
      </c>
      <c r="K8" s="7" t="s">
        <v>21</v>
      </c>
      <c r="L8" s="7" t="s">
        <v>22</v>
      </c>
      <c r="M8" s="7" t="s">
        <v>20</v>
      </c>
      <c r="N8" s="19" t="s">
        <v>21</v>
      </c>
    </row>
    <row r="9" spans="1:14">
      <c r="A9" s="5" t="s">
        <v>23</v>
      </c>
      <c r="B9">
        <v>3302002353</v>
      </c>
      <c r="C9">
        <v>18</v>
      </c>
      <c r="D9">
        <v>90</v>
      </c>
      <c r="E9">
        <v>7830</v>
      </c>
      <c r="F9" t="s">
        <v>24</v>
      </c>
      <c r="G9">
        <v>18</v>
      </c>
      <c r="H9">
        <v>18</v>
      </c>
      <c r="I9">
        <v>18</v>
      </c>
      <c r="J9">
        <v>18</v>
      </c>
      <c r="K9">
        <v>18</v>
      </c>
      <c r="L9">
        <v>18</v>
      </c>
      <c r="M9">
        <v>18</v>
      </c>
      <c r="N9" s="18">
        <v>18</v>
      </c>
    </row>
    <row r="10" spans="1:14">
      <c r="A10" s="5" t="s">
        <v>25</v>
      </c>
      <c r="B10">
        <v>3302002353</v>
      </c>
      <c r="C10">
        <v>18</v>
      </c>
      <c r="D10">
        <v>90</v>
      </c>
      <c r="E10">
        <v>7830</v>
      </c>
      <c r="F10" t="s">
        <v>24</v>
      </c>
      <c r="G10">
        <v>18</v>
      </c>
      <c r="H10">
        <v>18</v>
      </c>
      <c r="I10">
        <v>18</v>
      </c>
      <c r="J10">
        <v>18</v>
      </c>
      <c r="K10">
        <v>18</v>
      </c>
      <c r="L10">
        <v>18</v>
      </c>
      <c r="M10">
        <v>18</v>
      </c>
      <c r="N10" s="18">
        <v>18</v>
      </c>
    </row>
    <row r="11" spans="1:14">
      <c r="A11" s="5" t="s">
        <v>26</v>
      </c>
      <c r="B11">
        <v>3302002353</v>
      </c>
      <c r="C11">
        <v>18</v>
      </c>
      <c r="D11">
        <v>90</v>
      </c>
      <c r="E11">
        <v>7830</v>
      </c>
      <c r="F11" t="s">
        <v>24</v>
      </c>
      <c r="G11">
        <v>18</v>
      </c>
      <c r="H11">
        <v>18</v>
      </c>
      <c r="I11">
        <v>18</v>
      </c>
      <c r="J11">
        <v>18</v>
      </c>
      <c r="K11">
        <v>18</v>
      </c>
      <c r="L11">
        <v>18</v>
      </c>
      <c r="M11">
        <v>18</v>
      </c>
      <c r="N11" s="18">
        <v>18</v>
      </c>
    </row>
    <row r="12" spans="1:14">
      <c r="A12" s="5" t="s">
        <v>27</v>
      </c>
      <c r="B12">
        <v>3302002353</v>
      </c>
      <c r="C12">
        <v>18</v>
      </c>
      <c r="D12">
        <v>90</v>
      </c>
      <c r="E12">
        <v>7830</v>
      </c>
      <c r="F12" t="s">
        <v>24</v>
      </c>
      <c r="G12">
        <v>18</v>
      </c>
      <c r="H12">
        <v>18</v>
      </c>
      <c r="I12">
        <v>18</v>
      </c>
      <c r="J12">
        <v>18</v>
      </c>
      <c r="K12">
        <v>18</v>
      </c>
      <c r="L12">
        <v>18</v>
      </c>
      <c r="M12">
        <v>18</v>
      </c>
      <c r="N12" s="18">
        <v>18</v>
      </c>
    </row>
    <row r="13" spans="1:14">
      <c r="A13" s="8" t="s">
        <v>28</v>
      </c>
      <c r="B13" s="9">
        <v>3302002353</v>
      </c>
      <c r="C13" s="9">
        <v>18</v>
      </c>
      <c r="D13" s="9">
        <v>90</v>
      </c>
      <c r="E13" s="9">
        <v>7830</v>
      </c>
      <c r="F13" s="9" t="s">
        <v>24</v>
      </c>
      <c r="G13" s="9">
        <v>18</v>
      </c>
      <c r="H13" s="9">
        <v>18</v>
      </c>
      <c r="I13" s="9">
        <v>18</v>
      </c>
      <c r="J13" s="9">
        <v>18</v>
      </c>
      <c r="K13" s="9">
        <v>18</v>
      </c>
      <c r="L13" s="9">
        <v>18</v>
      </c>
      <c r="M13" s="9">
        <v>18</v>
      </c>
      <c r="N13" s="20">
        <v>18</v>
      </c>
    </row>
    <row r="14" spans="1:1">
      <c r="A14" t="s">
        <v>29</v>
      </c>
    </row>
    <row r="17" spans="1:1">
      <c r="A17" s="2" t="s">
        <v>0</v>
      </c>
    </row>
    <row r="18" spans="1:14">
      <c r="A18" s="10" t="s">
        <v>30</v>
      </c>
      <c r="B18" s="3"/>
      <c r="C18" s="3"/>
      <c r="D18" s="3"/>
      <c r="E18" s="3"/>
      <c r="F18" s="15" t="s">
        <v>1</v>
      </c>
      <c r="G18" s="3">
        <f>G21-D25</f>
        <v>154</v>
      </c>
      <c r="H18" s="3"/>
      <c r="I18" s="3">
        <f>I21+G19</f>
        <v>184</v>
      </c>
      <c r="J18" s="3"/>
      <c r="K18" s="3"/>
      <c r="L18" s="3">
        <f>L21+I19</f>
        <v>176</v>
      </c>
      <c r="M18" s="3"/>
      <c r="N18" s="17"/>
    </row>
    <row r="19" spans="1:14">
      <c r="A19" s="5"/>
      <c r="F19" s="16" t="s">
        <v>3</v>
      </c>
      <c r="G19">
        <f>G21-G20-D25</f>
        <v>0</v>
      </c>
      <c r="I19">
        <f>I18-I20</f>
        <v>-8</v>
      </c>
      <c r="L19">
        <f>L18-L20</f>
        <v>-16</v>
      </c>
      <c r="N19" s="18"/>
    </row>
    <row r="20" spans="1:14">
      <c r="A20" s="5"/>
      <c r="F20" s="16" t="s">
        <v>4</v>
      </c>
      <c r="G20">
        <f>G25+G26+G27+G28+G29+H25+H26+H27+H28+H29</f>
        <v>154</v>
      </c>
      <c r="I20">
        <f>I25+I26+I27+I28+I29+J25+J26+J27+J28+J29+K25+K26+K27+K28+K29</f>
        <v>192</v>
      </c>
      <c r="L20">
        <f>L25+L26+L27+L28+L29+M25+M26+M27+M28+M29+N25+N26+N27+N28+N29</f>
        <v>192</v>
      </c>
      <c r="N20" s="18"/>
    </row>
    <row r="21" spans="1:14">
      <c r="A21" s="5"/>
      <c r="F21" s="16" t="s">
        <v>6</v>
      </c>
      <c r="G21">
        <v>154</v>
      </c>
      <c r="I21">
        <v>184</v>
      </c>
      <c r="L21">
        <v>184</v>
      </c>
      <c r="N21" s="18"/>
    </row>
    <row r="22" spans="1:14">
      <c r="A22" s="5"/>
      <c r="G22" s="7" t="s">
        <v>8</v>
      </c>
      <c r="H22" s="7"/>
      <c r="I22" s="7" t="s">
        <v>9</v>
      </c>
      <c r="J22" s="7"/>
      <c r="K22" s="7"/>
      <c r="L22" s="7" t="s">
        <v>10</v>
      </c>
      <c r="N22" s="18"/>
    </row>
    <row r="23" spans="1:14">
      <c r="A23" s="5"/>
      <c r="G23" s="7" t="s">
        <v>11</v>
      </c>
      <c r="H23" s="7"/>
      <c r="I23" s="7" t="s">
        <v>12</v>
      </c>
      <c r="J23" s="7"/>
      <c r="K23" s="7"/>
      <c r="L23" s="7" t="s">
        <v>13</v>
      </c>
      <c r="N23" s="18"/>
    </row>
    <row r="24" spans="1:14">
      <c r="A24" s="6" t="s">
        <v>14</v>
      </c>
      <c r="B24" s="7" t="s">
        <v>15</v>
      </c>
      <c r="C24" s="7" t="s">
        <v>16</v>
      </c>
      <c r="D24" s="7" t="s">
        <v>17</v>
      </c>
      <c r="E24" s="7" t="s">
        <v>18</v>
      </c>
      <c r="F24" s="7" t="s">
        <v>19</v>
      </c>
      <c r="G24" s="7" t="s">
        <v>20</v>
      </c>
      <c r="H24" s="7" t="s">
        <v>21</v>
      </c>
      <c r="I24" s="7" t="s">
        <v>22</v>
      </c>
      <c r="J24" s="7" t="s">
        <v>20</v>
      </c>
      <c r="K24" s="7" t="s">
        <v>21</v>
      </c>
      <c r="L24" s="7" t="s">
        <v>22</v>
      </c>
      <c r="M24" s="7" t="s">
        <v>20</v>
      </c>
      <c r="N24" s="19" t="s">
        <v>21</v>
      </c>
    </row>
    <row r="25" spans="1:14">
      <c r="A25" s="5" t="s">
        <v>31</v>
      </c>
      <c r="B25">
        <v>3302001271</v>
      </c>
      <c r="C25">
        <v>16</v>
      </c>
      <c r="D25">
        <v>0</v>
      </c>
      <c r="E25">
        <v>7498</v>
      </c>
      <c r="F25" t="s">
        <v>24</v>
      </c>
      <c r="G25">
        <v>16</v>
      </c>
      <c r="H25">
        <v>16</v>
      </c>
      <c r="I25">
        <v>16</v>
      </c>
      <c r="J25">
        <v>16</v>
      </c>
      <c r="K25">
        <v>16</v>
      </c>
      <c r="L25">
        <v>16</v>
      </c>
      <c r="M25">
        <v>16</v>
      </c>
      <c r="N25" s="18">
        <v>16</v>
      </c>
    </row>
    <row r="26" spans="1:14">
      <c r="A26" s="5" t="s">
        <v>32</v>
      </c>
      <c r="B26">
        <v>3302001271</v>
      </c>
      <c r="C26">
        <v>16</v>
      </c>
      <c r="D26">
        <v>0</v>
      </c>
      <c r="E26">
        <v>7498</v>
      </c>
      <c r="F26" t="s">
        <v>24</v>
      </c>
      <c r="G26">
        <v>16</v>
      </c>
      <c r="H26">
        <v>16</v>
      </c>
      <c r="I26">
        <v>16</v>
      </c>
      <c r="J26">
        <v>16</v>
      </c>
      <c r="K26">
        <v>16</v>
      </c>
      <c r="L26">
        <v>16</v>
      </c>
      <c r="M26">
        <v>16</v>
      </c>
      <c r="N26" s="18">
        <v>16</v>
      </c>
    </row>
    <row r="27" spans="1:14">
      <c r="A27" s="5" t="s">
        <v>33</v>
      </c>
      <c r="B27">
        <v>3302001271</v>
      </c>
      <c r="C27">
        <v>16</v>
      </c>
      <c r="D27">
        <v>0</v>
      </c>
      <c r="E27">
        <v>7498</v>
      </c>
      <c r="F27" t="s">
        <v>24</v>
      </c>
      <c r="G27">
        <v>16</v>
      </c>
      <c r="H27">
        <v>16</v>
      </c>
      <c r="I27">
        <v>16</v>
      </c>
      <c r="J27">
        <v>16</v>
      </c>
      <c r="K27">
        <v>16</v>
      </c>
      <c r="L27">
        <v>16</v>
      </c>
      <c r="M27">
        <v>16</v>
      </c>
      <c r="N27" s="18">
        <v>16</v>
      </c>
    </row>
    <row r="28" spans="1:14">
      <c r="A28" s="5" t="s">
        <v>34</v>
      </c>
      <c r="B28">
        <v>3302001271</v>
      </c>
      <c r="C28">
        <v>16</v>
      </c>
      <c r="D28">
        <v>0</v>
      </c>
      <c r="E28">
        <v>7498</v>
      </c>
      <c r="F28" t="s">
        <v>24</v>
      </c>
      <c r="G28">
        <v>16</v>
      </c>
      <c r="H28">
        <v>16</v>
      </c>
      <c r="I28">
        <v>16</v>
      </c>
      <c r="J28">
        <v>16</v>
      </c>
      <c r="K28">
        <v>16</v>
      </c>
      <c r="L28">
        <v>16</v>
      </c>
      <c r="M28">
        <v>16</v>
      </c>
      <c r="N28" s="18">
        <v>16</v>
      </c>
    </row>
    <row r="29" s="1" customFormat="1" spans="1:14">
      <c r="A29" s="11" t="s">
        <v>35</v>
      </c>
      <c r="B29" s="1">
        <v>3302001271</v>
      </c>
      <c r="C29" s="1">
        <v>16</v>
      </c>
      <c r="D29" s="1">
        <v>0</v>
      </c>
      <c r="E29" s="1">
        <v>7498</v>
      </c>
      <c r="F29" s="1" t="s">
        <v>24</v>
      </c>
      <c r="G29" s="1">
        <v>16</v>
      </c>
      <c r="H29" s="1">
        <v>10</v>
      </c>
      <c r="N29" s="21"/>
    </row>
    <row r="30" spans="1:14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20"/>
    </row>
    <row r="31" spans="1:1">
      <c r="A31" t="s">
        <v>36</v>
      </c>
    </row>
    <row r="34" spans="1:1">
      <c r="A34" s="2" t="s">
        <v>0</v>
      </c>
    </row>
    <row r="35" spans="1:14">
      <c r="A35" s="10" t="s">
        <v>37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17"/>
    </row>
    <row r="36" spans="1:14">
      <c r="A36" s="5"/>
      <c r="F36" s="16" t="s">
        <v>1</v>
      </c>
      <c r="G36">
        <f>G39-D43</f>
        <v>96</v>
      </c>
      <c r="I36">
        <f>I39+G37</f>
        <v>96</v>
      </c>
      <c r="L36">
        <f>L39+I37</f>
        <v>96</v>
      </c>
      <c r="N36" s="18"/>
    </row>
    <row r="37" spans="1:14">
      <c r="A37" s="5"/>
      <c r="F37" s="16" t="s">
        <v>3</v>
      </c>
      <c r="G37">
        <f>G39-G38-D43</f>
        <v>0</v>
      </c>
      <c r="I37">
        <f>I36-I38</f>
        <v>0</v>
      </c>
      <c r="L37">
        <f>L36-L38</f>
        <v>0</v>
      </c>
      <c r="N37" s="18"/>
    </row>
    <row r="38" spans="1:14">
      <c r="A38" s="5"/>
      <c r="F38" s="16" t="s">
        <v>4</v>
      </c>
      <c r="G38">
        <f>G43+G44+G45+G46+G47+H43+H44+H45+H46+H47</f>
        <v>96</v>
      </c>
      <c r="I38">
        <f>I43+I44+I45+I46+I47+J43+J44+J45+J46+J47+K43+K44+K45+K46+K47</f>
        <v>96</v>
      </c>
      <c r="L38">
        <f>L43+L44+L45+L46+L47+M43+M44+M45+M46+M47+N43+N44+N45+N46+N47</f>
        <v>96</v>
      </c>
      <c r="N38" s="18"/>
    </row>
    <row r="39" spans="1:14">
      <c r="A39" s="5"/>
      <c r="F39" s="16" t="s">
        <v>6</v>
      </c>
      <c r="G39">
        <v>96</v>
      </c>
      <c r="I39">
        <v>96</v>
      </c>
      <c r="L39">
        <v>96</v>
      </c>
      <c r="N39" s="18"/>
    </row>
    <row r="40" spans="1:14">
      <c r="A40" s="5"/>
      <c r="G40" s="7" t="s">
        <v>8</v>
      </c>
      <c r="H40" s="7"/>
      <c r="I40" s="7" t="s">
        <v>9</v>
      </c>
      <c r="J40" s="7"/>
      <c r="K40" s="7"/>
      <c r="L40" s="7" t="s">
        <v>10</v>
      </c>
      <c r="N40" s="18"/>
    </row>
    <row r="41" spans="1:14">
      <c r="A41" s="5"/>
      <c r="G41" s="7" t="s">
        <v>11</v>
      </c>
      <c r="H41" s="7"/>
      <c r="I41" s="7" t="s">
        <v>12</v>
      </c>
      <c r="J41" s="7"/>
      <c r="K41" s="7"/>
      <c r="L41" s="7" t="s">
        <v>13</v>
      </c>
      <c r="N41" s="18"/>
    </row>
    <row r="42" spans="1:15">
      <c r="A42" s="6" t="s">
        <v>14</v>
      </c>
      <c r="B42" s="7" t="s">
        <v>15</v>
      </c>
      <c r="C42" s="7" t="s">
        <v>16</v>
      </c>
      <c r="D42" s="7" t="s">
        <v>17</v>
      </c>
      <c r="E42" s="7" t="s">
        <v>18</v>
      </c>
      <c r="F42" s="7" t="s">
        <v>19</v>
      </c>
      <c r="G42" s="7" t="s">
        <v>20</v>
      </c>
      <c r="H42" s="7" t="s">
        <v>21</v>
      </c>
      <c r="I42" s="7" t="s">
        <v>22</v>
      </c>
      <c r="J42" s="7" t="s">
        <v>20</v>
      </c>
      <c r="K42" s="7" t="s">
        <v>21</v>
      </c>
      <c r="L42" s="7" t="s">
        <v>22</v>
      </c>
      <c r="M42" s="7" t="s">
        <v>20</v>
      </c>
      <c r="N42" s="19" t="s">
        <v>21</v>
      </c>
      <c r="O42" s="16"/>
    </row>
    <row r="43" spans="1:14">
      <c r="A43" s="5" t="s">
        <v>38</v>
      </c>
      <c r="B43">
        <v>3302000465</v>
      </c>
      <c r="C43">
        <v>16</v>
      </c>
      <c r="D43">
        <v>0</v>
      </c>
      <c r="E43">
        <v>4848</v>
      </c>
      <c r="F43" t="s">
        <v>24</v>
      </c>
      <c r="G43">
        <v>16</v>
      </c>
      <c r="H43">
        <v>16</v>
      </c>
      <c r="I43">
        <v>16</v>
      </c>
      <c r="J43">
        <v>16</v>
      </c>
      <c r="K43">
        <v>16</v>
      </c>
      <c r="L43">
        <v>16</v>
      </c>
      <c r="M43">
        <v>16</v>
      </c>
      <c r="N43" s="18">
        <v>16</v>
      </c>
    </row>
    <row r="44" spans="1:15">
      <c r="A44" s="5" t="s">
        <v>39</v>
      </c>
      <c r="B44">
        <v>3302000465</v>
      </c>
      <c r="C44">
        <v>16</v>
      </c>
      <c r="D44">
        <v>0</v>
      </c>
      <c r="E44">
        <v>4848</v>
      </c>
      <c r="F44" t="s">
        <v>24</v>
      </c>
      <c r="G44">
        <v>16</v>
      </c>
      <c r="H44">
        <v>16</v>
      </c>
      <c r="I44">
        <v>16</v>
      </c>
      <c r="J44">
        <v>16</v>
      </c>
      <c r="K44">
        <v>16</v>
      </c>
      <c r="L44">
        <v>16</v>
      </c>
      <c r="M44">
        <v>16</v>
      </c>
      <c r="N44" s="18">
        <v>16</v>
      </c>
      <c r="O44" s="14"/>
    </row>
    <row r="45" spans="1:14">
      <c r="A45" s="11" t="s">
        <v>40</v>
      </c>
      <c r="B45" s="1">
        <v>3302000465</v>
      </c>
      <c r="C45" s="1">
        <v>16</v>
      </c>
      <c r="D45" s="1">
        <v>0</v>
      </c>
      <c r="E45" s="1">
        <v>4848</v>
      </c>
      <c r="F45" s="1" t="s">
        <v>24</v>
      </c>
      <c r="G45" s="1">
        <v>16</v>
      </c>
      <c r="H45" s="1">
        <v>16</v>
      </c>
      <c r="I45" s="1"/>
      <c r="J45" s="1"/>
      <c r="K45" s="1"/>
      <c r="L45" s="1"/>
      <c r="M45" s="1"/>
      <c r="N45" s="21"/>
    </row>
    <row r="46" spans="1:14">
      <c r="A46" s="11" t="s">
        <v>41</v>
      </c>
      <c r="B46" s="1">
        <v>3302000465</v>
      </c>
      <c r="C46" s="1">
        <v>16</v>
      </c>
      <c r="D46" s="1">
        <v>0</v>
      </c>
      <c r="E46" s="1">
        <v>4848</v>
      </c>
      <c r="F46" s="1" t="s">
        <v>24</v>
      </c>
      <c r="G46" s="1"/>
      <c r="H46" s="1"/>
      <c r="I46" s="1"/>
      <c r="J46" s="1"/>
      <c r="K46" s="1"/>
      <c r="L46" s="1"/>
      <c r="M46" s="1"/>
      <c r="N46" s="21"/>
    </row>
    <row r="47" spans="1:15">
      <c r="A47" s="12" t="s">
        <v>42</v>
      </c>
      <c r="B47" s="13">
        <v>3302000465</v>
      </c>
      <c r="C47" s="13">
        <v>16</v>
      </c>
      <c r="D47" s="13">
        <v>0</v>
      </c>
      <c r="E47" s="13">
        <v>4848</v>
      </c>
      <c r="F47" s="13" t="s">
        <v>24</v>
      </c>
      <c r="G47" s="13"/>
      <c r="H47" s="13"/>
      <c r="I47" s="13"/>
      <c r="J47" s="13"/>
      <c r="K47" s="13"/>
      <c r="L47" s="13"/>
      <c r="M47" s="13"/>
      <c r="N47" s="22"/>
      <c r="O47" s="1"/>
    </row>
    <row r="48" spans="1:1">
      <c r="A48" s="14" t="s">
        <v>43</v>
      </c>
    </row>
    <row r="51" spans="1:1">
      <c r="A51" s="2" t="s">
        <v>0</v>
      </c>
    </row>
    <row r="52" spans="1:14">
      <c r="A52" s="10" t="s">
        <v>44</v>
      </c>
      <c r="B52" s="3"/>
      <c r="C52" s="3"/>
      <c r="D52" s="3"/>
      <c r="E52" s="3"/>
      <c r="F52" s="15" t="s">
        <v>1</v>
      </c>
      <c r="G52" s="3">
        <f>G55-D59</f>
        <v>8</v>
      </c>
      <c r="H52" s="3"/>
      <c r="I52" s="3">
        <f>I55+G53</f>
        <v>24</v>
      </c>
      <c r="J52" s="3"/>
      <c r="K52" s="3"/>
      <c r="L52" s="3">
        <f>L55+I53</f>
        <v>24</v>
      </c>
      <c r="M52" s="3"/>
      <c r="N52" s="17"/>
    </row>
    <row r="53" spans="1:14">
      <c r="A53" s="5"/>
      <c r="F53" s="16" t="s">
        <v>3</v>
      </c>
      <c r="G53">
        <f>G55-G54-D59</f>
        <v>-24</v>
      </c>
      <c r="I53">
        <f>I52-I54</f>
        <v>-24</v>
      </c>
      <c r="L53">
        <f>L52-L54</f>
        <v>-24</v>
      </c>
      <c r="N53" s="18"/>
    </row>
    <row r="54" spans="1:14">
      <c r="A54" s="5"/>
      <c r="F54" s="16" t="s">
        <v>4</v>
      </c>
      <c r="G54">
        <f>G59+G60+G63+G64+G65+H59+H60+H63+H64+H65</f>
        <v>32</v>
      </c>
      <c r="I54">
        <f>I59+I60+I63+I64+I65+J59+J60+J63+J64+J65+K59+K60+K63+K64+K65</f>
        <v>48</v>
      </c>
      <c r="L54">
        <f>L59+L60+L63+L64+L65+M59+M60+M63+M64+M65+N59+N60+N63+N64+N65</f>
        <v>48</v>
      </c>
      <c r="N54" s="18"/>
    </row>
    <row r="55" spans="1:14">
      <c r="A55" s="5"/>
      <c r="F55" s="16" t="s">
        <v>6</v>
      </c>
      <c r="G55">
        <v>8</v>
      </c>
      <c r="I55">
        <v>48</v>
      </c>
      <c r="L55">
        <v>48</v>
      </c>
      <c r="N55" s="18"/>
    </row>
    <row r="56" spans="1:14">
      <c r="A56" s="5"/>
      <c r="G56" s="7" t="s">
        <v>8</v>
      </c>
      <c r="H56" s="7"/>
      <c r="I56" s="7" t="s">
        <v>9</v>
      </c>
      <c r="J56" s="7"/>
      <c r="K56" s="7"/>
      <c r="L56" s="7" t="s">
        <v>10</v>
      </c>
      <c r="N56" s="18"/>
    </row>
    <row r="57" spans="1:14">
      <c r="A57" s="5"/>
      <c r="G57" s="7" t="s">
        <v>11</v>
      </c>
      <c r="H57" s="7"/>
      <c r="I57" s="7" t="s">
        <v>12</v>
      </c>
      <c r="J57" s="7"/>
      <c r="K57" s="7"/>
      <c r="L57" s="7" t="s">
        <v>13</v>
      </c>
      <c r="N57" s="18"/>
    </row>
    <row r="58" spans="1:14">
      <c r="A58" s="6" t="s">
        <v>14</v>
      </c>
      <c r="B58" s="7" t="s">
        <v>15</v>
      </c>
      <c r="C58" s="7" t="s">
        <v>16</v>
      </c>
      <c r="D58" s="7" t="s">
        <v>17</v>
      </c>
      <c r="E58" s="7" t="s">
        <v>18</v>
      </c>
      <c r="F58" s="7" t="s">
        <v>19</v>
      </c>
      <c r="G58" s="7" t="s">
        <v>20</v>
      </c>
      <c r="H58" s="7" t="s">
        <v>21</v>
      </c>
      <c r="I58" s="7" t="s">
        <v>22</v>
      </c>
      <c r="J58" s="7" t="s">
        <v>20</v>
      </c>
      <c r="K58" s="7" t="s">
        <v>21</v>
      </c>
      <c r="L58" s="7" t="s">
        <v>22</v>
      </c>
      <c r="M58" s="7" t="s">
        <v>20</v>
      </c>
      <c r="N58" s="19" t="s">
        <v>21</v>
      </c>
    </row>
    <row r="59" spans="1:14">
      <c r="A59" s="8" t="s">
        <v>45</v>
      </c>
      <c r="B59" s="9">
        <v>3302002336</v>
      </c>
      <c r="C59" s="9">
        <v>16</v>
      </c>
      <c r="D59" s="9">
        <v>0</v>
      </c>
      <c r="E59" s="9">
        <v>1448</v>
      </c>
      <c r="F59" s="9" t="s">
        <v>24</v>
      </c>
      <c r="G59" s="9">
        <v>16</v>
      </c>
      <c r="H59" s="9">
        <v>16</v>
      </c>
      <c r="I59" s="9">
        <v>16</v>
      </c>
      <c r="J59" s="9">
        <v>16</v>
      </c>
      <c r="K59" s="9">
        <v>16</v>
      </c>
      <c r="L59" s="9">
        <v>16</v>
      </c>
      <c r="M59" s="9">
        <v>16</v>
      </c>
      <c r="N59" s="20">
        <v>16</v>
      </c>
    </row>
    <row r="60" spans="1:1">
      <c r="A60" t="s">
        <v>46</v>
      </c>
    </row>
    <row r="65" spans="1:1">
      <c r="A65" s="2" t="s">
        <v>0</v>
      </c>
    </row>
    <row r="66" spans="1:14">
      <c r="A66" s="2" t="s">
        <v>47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17"/>
    </row>
    <row r="67" spans="1:14">
      <c r="A67" s="4" t="s">
        <v>48</v>
      </c>
      <c r="F67" t="s">
        <v>1</v>
      </c>
      <c r="G67">
        <f>G70-D74</f>
        <v>0</v>
      </c>
      <c r="I67">
        <f>I70+G68</f>
        <v>32</v>
      </c>
      <c r="L67">
        <f>L70+I68</f>
        <v>30</v>
      </c>
      <c r="N67" s="18"/>
    </row>
    <row r="68" spans="1:14">
      <c r="A68" s="5"/>
      <c r="F68" s="16" t="s">
        <v>3</v>
      </c>
      <c r="G68">
        <f>G70-G69-D74</f>
        <v>0</v>
      </c>
      <c r="I68">
        <f>I67-I69</f>
        <v>-16</v>
      </c>
      <c r="L68">
        <f>L67-L69</f>
        <v>-18</v>
      </c>
      <c r="N68" s="18"/>
    </row>
    <row r="69" spans="1:14">
      <c r="A69" s="5"/>
      <c r="F69" t="s">
        <v>4</v>
      </c>
      <c r="G69">
        <f>G74+G75+G76+G77+G80+H74+H75+H76+H77+H80</f>
        <v>0</v>
      </c>
      <c r="I69">
        <f>I74+I75+I76+I77+I80+J74+J75+J76+J77+J80+K74+K75+K76+K77+K80</f>
        <v>48</v>
      </c>
      <c r="L69">
        <f>L74+L75+L76+L77+L80+M74+M75+M76+M77+M80+N74+N75+N76+N77+N80</f>
        <v>48</v>
      </c>
      <c r="N69" s="18"/>
    </row>
    <row r="70" spans="1:14">
      <c r="A70" s="5"/>
      <c r="F70" s="16" t="s">
        <v>6</v>
      </c>
      <c r="G70">
        <v>0</v>
      </c>
      <c r="I70">
        <v>32</v>
      </c>
      <c r="L70">
        <v>46</v>
      </c>
      <c r="N70" s="18"/>
    </row>
    <row r="71" spans="1:14">
      <c r="A71" s="5"/>
      <c r="G71" s="7" t="s">
        <v>8</v>
      </c>
      <c r="H71" s="7"/>
      <c r="I71" s="7" t="s">
        <v>9</v>
      </c>
      <c r="J71" s="7"/>
      <c r="K71" s="7"/>
      <c r="L71" s="7" t="s">
        <v>10</v>
      </c>
      <c r="N71" s="18"/>
    </row>
    <row r="72" spans="1:14">
      <c r="A72" s="5"/>
      <c r="G72" s="7" t="s">
        <v>11</v>
      </c>
      <c r="H72" s="7"/>
      <c r="I72" s="7" t="s">
        <v>12</v>
      </c>
      <c r="J72" s="7"/>
      <c r="K72" s="7"/>
      <c r="L72" s="7" t="s">
        <v>13</v>
      </c>
      <c r="N72" s="18"/>
    </row>
    <row r="73" spans="1:14">
      <c r="A73" s="6" t="s">
        <v>14</v>
      </c>
      <c r="B73" s="7" t="s">
        <v>15</v>
      </c>
      <c r="C73" s="7" t="s">
        <v>16</v>
      </c>
      <c r="D73" s="7" t="s">
        <v>17</v>
      </c>
      <c r="E73" s="7" t="s">
        <v>18</v>
      </c>
      <c r="F73" s="7" t="s">
        <v>19</v>
      </c>
      <c r="G73" s="7" t="s">
        <v>20</v>
      </c>
      <c r="H73" s="7" t="s">
        <v>21</v>
      </c>
      <c r="I73" s="7" t="s">
        <v>22</v>
      </c>
      <c r="J73" s="7" t="s">
        <v>20</v>
      </c>
      <c r="K73" s="7" t="s">
        <v>21</v>
      </c>
      <c r="L73" s="7" t="s">
        <v>22</v>
      </c>
      <c r="M73" s="7" t="s">
        <v>20</v>
      </c>
      <c r="N73" s="19" t="s">
        <v>21</v>
      </c>
    </row>
    <row r="74" spans="1:14">
      <c r="A74" s="5" t="s">
        <v>49</v>
      </c>
      <c r="B74">
        <v>3302001075</v>
      </c>
      <c r="C74">
        <v>16</v>
      </c>
      <c r="D74">
        <v>0</v>
      </c>
      <c r="E74">
        <v>2226</v>
      </c>
      <c r="F74" t="s">
        <v>24</v>
      </c>
      <c r="I74">
        <v>16</v>
      </c>
      <c r="J74">
        <v>16</v>
      </c>
      <c r="K74">
        <v>16</v>
      </c>
      <c r="L74">
        <v>16</v>
      </c>
      <c r="M74">
        <v>16</v>
      </c>
      <c r="N74" s="18">
        <v>16</v>
      </c>
    </row>
    <row r="75" spans="1:15">
      <c r="A75" s="12" t="s">
        <v>50</v>
      </c>
      <c r="B75" s="13">
        <v>3302001075</v>
      </c>
      <c r="C75" s="13">
        <v>16</v>
      </c>
      <c r="D75" s="13">
        <v>0</v>
      </c>
      <c r="E75" s="13">
        <v>2226</v>
      </c>
      <c r="F75" s="13" t="s">
        <v>24</v>
      </c>
      <c r="G75" s="13"/>
      <c r="H75" s="13"/>
      <c r="I75" s="13"/>
      <c r="J75" s="13"/>
      <c r="K75" s="13"/>
      <c r="L75" s="13"/>
      <c r="M75" s="13"/>
      <c r="N75" s="22"/>
      <c r="O75" s="1"/>
    </row>
    <row r="76" spans="1:1">
      <c r="A76" t="s">
        <v>51</v>
      </c>
    </row>
    <row r="82" spans="1:14">
      <c r="A82" s="2" t="s">
        <v>0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17"/>
    </row>
    <row r="83" spans="1:14">
      <c r="A83" s="4" t="s">
        <v>52</v>
      </c>
      <c r="F83" s="16" t="s">
        <v>1</v>
      </c>
      <c r="G83">
        <f>G86-D90</f>
        <v>288</v>
      </c>
      <c r="I83">
        <f>I86+G84</f>
        <v>416</v>
      </c>
      <c r="L83">
        <f>L86+I84</f>
        <v>320</v>
      </c>
      <c r="N83" s="18"/>
    </row>
    <row r="84" spans="1:14">
      <c r="A84" s="5"/>
      <c r="F84" s="16" t="s">
        <v>3</v>
      </c>
      <c r="G84">
        <f>G86-G85-D90</f>
        <v>176</v>
      </c>
      <c r="I84">
        <f>I83-I85</f>
        <v>80</v>
      </c>
      <c r="L84">
        <f>L83-L85</f>
        <v>0</v>
      </c>
      <c r="N84" s="18"/>
    </row>
    <row r="85" spans="1:14">
      <c r="A85" s="5"/>
      <c r="F85" s="16" t="s">
        <v>4</v>
      </c>
      <c r="G85">
        <f>G90+G91+G92+G93+G94+H90+H91+H92+H93+H94+G95+H95+G96+H96</f>
        <v>112</v>
      </c>
      <c r="I85">
        <f>I90+I91+I92+I93+I94+J90+J91+J92+J93+J94+K90+K91+K92+K93+K94+I95+J95+K95+I96+J96+K96</f>
        <v>336</v>
      </c>
      <c r="L85">
        <f>L90+L91+L92+L93+L94+M90+M91+M92+M93+M94+N90+N91+N92+N93+N94+L95+M95+N95+L96+M96+N96</f>
        <v>320</v>
      </c>
      <c r="N85" s="18"/>
    </row>
    <row r="86" spans="1:14">
      <c r="A86" s="5"/>
      <c r="F86" s="16" t="s">
        <v>6</v>
      </c>
      <c r="G86">
        <v>288</v>
      </c>
      <c r="I86">
        <v>240</v>
      </c>
      <c r="L86">
        <v>240</v>
      </c>
      <c r="N86" s="18"/>
    </row>
    <row r="87" spans="1:14">
      <c r="A87" s="5"/>
      <c r="G87" s="7" t="s">
        <v>8</v>
      </c>
      <c r="H87" s="7"/>
      <c r="I87" s="7" t="s">
        <v>9</v>
      </c>
      <c r="J87" s="7"/>
      <c r="K87" s="7"/>
      <c r="L87" s="7" t="s">
        <v>10</v>
      </c>
      <c r="N87" s="18"/>
    </row>
    <row r="88" spans="1:14">
      <c r="A88" s="5"/>
      <c r="G88" s="7" t="s">
        <v>11</v>
      </c>
      <c r="H88" s="7"/>
      <c r="I88" s="7" t="s">
        <v>12</v>
      </c>
      <c r="J88" s="7"/>
      <c r="K88" s="7"/>
      <c r="L88" s="7" t="s">
        <v>13</v>
      </c>
      <c r="N88" s="18"/>
    </row>
    <row r="89" spans="1:14">
      <c r="A89" s="6" t="s">
        <v>14</v>
      </c>
      <c r="B89" s="7" t="s">
        <v>15</v>
      </c>
      <c r="C89" s="7" t="s">
        <v>16</v>
      </c>
      <c r="D89" s="7" t="s">
        <v>17</v>
      </c>
      <c r="E89" s="7" t="s">
        <v>18</v>
      </c>
      <c r="F89" s="7" t="s">
        <v>19</v>
      </c>
      <c r="G89" s="7" t="s">
        <v>20</v>
      </c>
      <c r="H89" s="7" t="s">
        <v>21</v>
      </c>
      <c r="I89" s="7" t="s">
        <v>22</v>
      </c>
      <c r="J89" s="7" t="s">
        <v>20</v>
      </c>
      <c r="K89" s="7" t="s">
        <v>21</v>
      </c>
      <c r="L89" s="7" t="s">
        <v>22</v>
      </c>
      <c r="M89" s="7" t="s">
        <v>20</v>
      </c>
      <c r="N89" s="19" t="s">
        <v>21</v>
      </c>
    </row>
    <row r="90" spans="1:14">
      <c r="A90" s="5" t="s">
        <v>53</v>
      </c>
      <c r="B90">
        <v>3302001078</v>
      </c>
      <c r="C90">
        <v>16</v>
      </c>
      <c r="D90">
        <v>0</v>
      </c>
      <c r="E90">
        <v>3840</v>
      </c>
      <c r="F90" t="s">
        <v>54</v>
      </c>
      <c r="H90">
        <v>16</v>
      </c>
      <c r="I90">
        <v>16</v>
      </c>
      <c r="J90">
        <v>16</v>
      </c>
      <c r="K90">
        <v>16</v>
      </c>
      <c r="L90">
        <v>16</v>
      </c>
      <c r="M90">
        <v>16</v>
      </c>
      <c r="N90" s="18">
        <v>16</v>
      </c>
    </row>
    <row r="91" spans="1:14">
      <c r="A91" s="5" t="s">
        <v>55</v>
      </c>
      <c r="B91">
        <v>3302001078</v>
      </c>
      <c r="C91">
        <v>16</v>
      </c>
      <c r="D91">
        <v>0</v>
      </c>
      <c r="E91">
        <v>3840</v>
      </c>
      <c r="F91" t="s">
        <v>54</v>
      </c>
      <c r="H91">
        <v>16</v>
      </c>
      <c r="I91">
        <v>16</v>
      </c>
      <c r="J91">
        <v>16</v>
      </c>
      <c r="K91">
        <v>16</v>
      </c>
      <c r="L91">
        <v>16</v>
      </c>
      <c r="M91">
        <v>16</v>
      </c>
      <c r="N91" s="18">
        <v>16</v>
      </c>
    </row>
    <row r="92" spans="1:14">
      <c r="A92" s="5" t="s">
        <v>56</v>
      </c>
      <c r="B92">
        <v>3302001078</v>
      </c>
      <c r="C92">
        <v>16</v>
      </c>
      <c r="D92">
        <v>0</v>
      </c>
      <c r="E92">
        <v>3840</v>
      </c>
      <c r="F92" t="s">
        <v>54</v>
      </c>
      <c r="H92">
        <v>16</v>
      </c>
      <c r="I92">
        <v>16</v>
      </c>
      <c r="J92">
        <v>16</v>
      </c>
      <c r="K92">
        <v>16</v>
      </c>
      <c r="L92">
        <v>16</v>
      </c>
      <c r="M92">
        <v>16</v>
      </c>
      <c r="N92" s="18">
        <v>16</v>
      </c>
    </row>
    <row r="93" spans="1:14">
      <c r="A93" s="5" t="s">
        <v>57</v>
      </c>
      <c r="B93">
        <v>3302001078</v>
      </c>
      <c r="C93">
        <v>16</v>
      </c>
      <c r="D93">
        <v>0</v>
      </c>
      <c r="E93">
        <v>3840</v>
      </c>
      <c r="F93" t="s">
        <v>54</v>
      </c>
      <c r="H93">
        <v>16</v>
      </c>
      <c r="I93">
        <v>16</v>
      </c>
      <c r="J93">
        <v>16</v>
      </c>
      <c r="K93">
        <v>16</v>
      </c>
      <c r="L93">
        <v>16</v>
      </c>
      <c r="M93">
        <v>16</v>
      </c>
      <c r="N93" s="18">
        <v>16</v>
      </c>
    </row>
    <row r="94" spans="1:14">
      <c r="A94" s="5" t="s">
        <v>58</v>
      </c>
      <c r="B94">
        <v>3302001078</v>
      </c>
      <c r="C94">
        <v>16</v>
      </c>
      <c r="D94">
        <v>0</v>
      </c>
      <c r="E94">
        <v>3840</v>
      </c>
      <c r="F94" t="s">
        <v>54</v>
      </c>
      <c r="H94">
        <v>16</v>
      </c>
      <c r="I94">
        <v>16</v>
      </c>
      <c r="J94">
        <v>16</v>
      </c>
      <c r="K94">
        <v>16</v>
      </c>
      <c r="L94">
        <v>16</v>
      </c>
      <c r="M94">
        <v>16</v>
      </c>
      <c r="N94" s="18">
        <v>16</v>
      </c>
    </row>
    <row r="95" spans="1:14">
      <c r="A95" s="5" t="s">
        <v>59</v>
      </c>
      <c r="B95">
        <v>3302001078</v>
      </c>
      <c r="C95">
        <v>16</v>
      </c>
      <c r="D95">
        <v>0</v>
      </c>
      <c r="E95">
        <v>3840</v>
      </c>
      <c r="F95" t="s">
        <v>54</v>
      </c>
      <c r="H95">
        <v>16</v>
      </c>
      <c r="I95">
        <v>16</v>
      </c>
      <c r="J95">
        <v>16</v>
      </c>
      <c r="K95">
        <v>16</v>
      </c>
      <c r="L95">
        <v>16</v>
      </c>
      <c r="M95">
        <v>16</v>
      </c>
      <c r="N95" s="18">
        <v>16</v>
      </c>
    </row>
    <row r="96" spans="1:14">
      <c r="A96" s="5" t="s">
        <v>60</v>
      </c>
      <c r="B96">
        <v>3302001078</v>
      </c>
      <c r="C96">
        <v>16</v>
      </c>
      <c r="D96">
        <v>0</v>
      </c>
      <c r="E96">
        <v>3840</v>
      </c>
      <c r="F96" t="s">
        <v>54</v>
      </c>
      <c r="H96">
        <v>16</v>
      </c>
      <c r="I96">
        <v>16</v>
      </c>
      <c r="J96">
        <v>16</v>
      </c>
      <c r="K96">
        <v>16</v>
      </c>
      <c r="L96">
        <v>16</v>
      </c>
      <c r="M96">
        <v>16</v>
      </c>
      <c r="N96" s="18"/>
    </row>
    <row r="97" spans="1:14">
      <c r="A97" s="8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20"/>
    </row>
    <row r="98" spans="1:1">
      <c r="A98" t="s">
        <v>61</v>
      </c>
    </row>
    <row r="99" spans="1:1">
      <c r="A99" t="s">
        <v>62</v>
      </c>
    </row>
    <row r="100" spans="1:1">
      <c r="A100" t="s">
        <v>63</v>
      </c>
    </row>
    <row r="103" spans="1:14">
      <c r="A103" s="2" t="s">
        <v>0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17"/>
    </row>
    <row r="104" spans="1:14">
      <c r="A104" s="4" t="s">
        <v>64</v>
      </c>
      <c r="F104" s="16" t="s">
        <v>1</v>
      </c>
      <c r="G104">
        <f>G107-D111</f>
        <v>50</v>
      </c>
      <c r="I104">
        <f>I107+G105</f>
        <v>66</v>
      </c>
      <c r="L104">
        <f>L107+I105</f>
        <v>65</v>
      </c>
      <c r="N104" s="18"/>
    </row>
    <row r="105" spans="1:14">
      <c r="A105" s="5"/>
      <c r="F105" s="16" t="s">
        <v>3</v>
      </c>
      <c r="G105">
        <f>G107-G106-D111</f>
        <v>16</v>
      </c>
      <c r="I105">
        <f>I104-I106</f>
        <v>15</v>
      </c>
      <c r="L105">
        <f>L104-L106</f>
        <v>14</v>
      </c>
      <c r="N105" s="18"/>
    </row>
    <row r="106" spans="1:14">
      <c r="A106" s="5"/>
      <c r="F106" s="16" t="s">
        <v>4</v>
      </c>
      <c r="G106">
        <f>G111+H111</f>
        <v>34</v>
      </c>
      <c r="I106">
        <f>I111+J111+K111</f>
        <v>51</v>
      </c>
      <c r="L106">
        <f>L111+M111+N111</f>
        <v>51</v>
      </c>
      <c r="N106" s="18"/>
    </row>
    <row r="107" spans="1:14">
      <c r="A107" s="5"/>
      <c r="F107" s="16" t="s">
        <v>6</v>
      </c>
      <c r="G107">
        <v>50</v>
      </c>
      <c r="I107">
        <v>50</v>
      </c>
      <c r="L107">
        <v>50</v>
      </c>
      <c r="N107" s="18"/>
    </row>
    <row r="108" spans="1:14">
      <c r="A108" s="5"/>
      <c r="G108" s="7" t="s">
        <v>8</v>
      </c>
      <c r="H108" s="7"/>
      <c r="I108" s="7" t="s">
        <v>9</v>
      </c>
      <c r="J108" s="7"/>
      <c r="K108" s="7"/>
      <c r="L108" s="7" t="s">
        <v>10</v>
      </c>
      <c r="N108" s="18"/>
    </row>
    <row r="109" spans="1:14">
      <c r="A109" s="5"/>
      <c r="G109" s="7" t="s">
        <v>11</v>
      </c>
      <c r="H109" s="7"/>
      <c r="I109" s="7" t="s">
        <v>12</v>
      </c>
      <c r="J109" s="7"/>
      <c r="K109" s="7"/>
      <c r="L109" s="7" t="s">
        <v>13</v>
      </c>
      <c r="N109" s="18"/>
    </row>
    <row r="110" spans="1:14">
      <c r="A110" s="6" t="s">
        <v>14</v>
      </c>
      <c r="B110" s="7" t="s">
        <v>15</v>
      </c>
      <c r="C110" s="7" t="s">
        <v>16</v>
      </c>
      <c r="D110" s="7" t="s">
        <v>17</v>
      </c>
      <c r="E110" s="7" t="s">
        <v>18</v>
      </c>
      <c r="F110" s="7" t="s">
        <v>19</v>
      </c>
      <c r="G110" s="7" t="s">
        <v>20</v>
      </c>
      <c r="H110" s="7" t="s">
        <v>21</v>
      </c>
      <c r="I110" s="7" t="s">
        <v>22</v>
      </c>
      <c r="J110" s="7" t="s">
        <v>20</v>
      </c>
      <c r="K110" s="7" t="s">
        <v>21</v>
      </c>
      <c r="L110" s="7" t="s">
        <v>22</v>
      </c>
      <c r="M110" s="7" t="s">
        <v>20</v>
      </c>
      <c r="N110" s="19" t="s">
        <v>21</v>
      </c>
    </row>
    <row r="111" spans="1:14">
      <c r="A111" s="5" t="s">
        <v>65</v>
      </c>
      <c r="B111">
        <v>3302002654</v>
      </c>
      <c r="C111">
        <v>17</v>
      </c>
      <c r="D111">
        <v>0</v>
      </c>
      <c r="E111">
        <v>1500</v>
      </c>
      <c r="F111" t="s">
        <v>24</v>
      </c>
      <c r="G111">
        <v>17</v>
      </c>
      <c r="H111">
        <v>17</v>
      </c>
      <c r="I111">
        <v>17</v>
      </c>
      <c r="J111">
        <v>17</v>
      </c>
      <c r="K111">
        <v>17</v>
      </c>
      <c r="L111">
        <v>17</v>
      </c>
      <c r="M111">
        <v>17</v>
      </c>
      <c r="N111" s="25">
        <v>17</v>
      </c>
    </row>
    <row r="112" spans="1:14">
      <c r="A112" s="12" t="s">
        <v>66</v>
      </c>
      <c r="B112" s="23">
        <v>3302002654</v>
      </c>
      <c r="C112" s="23">
        <v>17</v>
      </c>
      <c r="D112" s="23">
        <v>0</v>
      </c>
      <c r="E112" s="23">
        <v>1500</v>
      </c>
      <c r="F112" s="23" t="s">
        <v>54</v>
      </c>
      <c r="G112" s="13"/>
      <c r="H112" s="13">
        <v>16</v>
      </c>
      <c r="I112" s="13"/>
      <c r="J112" s="13"/>
      <c r="K112" s="13"/>
      <c r="L112" s="13"/>
      <c r="M112" s="13"/>
      <c r="N112" s="22"/>
    </row>
    <row r="113" spans="1:1">
      <c r="A113" t="s">
        <v>61</v>
      </c>
    </row>
    <row r="114" spans="1:1">
      <c r="A114" t="s">
        <v>67</v>
      </c>
    </row>
    <row r="115" spans="1:1">
      <c r="A115" t="s">
        <v>68</v>
      </c>
    </row>
    <row r="116" spans="1:1">
      <c r="A116" t="s">
        <v>69</v>
      </c>
    </row>
    <row r="119" spans="1:14">
      <c r="A119" s="2" t="s">
        <v>0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17"/>
    </row>
    <row r="120" spans="1:14">
      <c r="A120" s="4" t="s">
        <v>70</v>
      </c>
      <c r="F120" s="16" t="s">
        <v>1</v>
      </c>
      <c r="G120">
        <f>G123-D127</f>
        <v>0</v>
      </c>
      <c r="I120">
        <f>I123+G121</f>
        <v>32</v>
      </c>
      <c r="L120">
        <f>L123+I121</f>
        <v>31</v>
      </c>
      <c r="N120" s="18"/>
    </row>
    <row r="121" spans="1:14">
      <c r="A121" s="5"/>
      <c r="F121" s="16" t="s">
        <v>3</v>
      </c>
      <c r="G121">
        <f>G123-G122-D127</f>
        <v>0</v>
      </c>
      <c r="I121">
        <f>I120-I122</f>
        <v>-19</v>
      </c>
      <c r="L121">
        <f>L120-L122</f>
        <v>-20</v>
      </c>
      <c r="N121" s="18"/>
    </row>
    <row r="122" spans="1:14">
      <c r="A122" s="5"/>
      <c r="F122" s="16" t="s">
        <v>4</v>
      </c>
      <c r="G122">
        <f>G127+H127</f>
        <v>0</v>
      </c>
      <c r="I122">
        <f>I127+J127+K127</f>
        <v>51</v>
      </c>
      <c r="L122">
        <f>L127+M127+N127</f>
        <v>51</v>
      </c>
      <c r="N122" s="18"/>
    </row>
    <row r="123" spans="1:14">
      <c r="A123" s="5"/>
      <c r="F123" s="16" t="s">
        <v>6</v>
      </c>
      <c r="G123">
        <v>0</v>
      </c>
      <c r="I123">
        <v>32</v>
      </c>
      <c r="L123">
        <v>50</v>
      </c>
      <c r="N123" s="18"/>
    </row>
    <row r="124" spans="1:14">
      <c r="A124" s="5"/>
      <c r="G124" s="7" t="s">
        <v>8</v>
      </c>
      <c r="H124" s="7"/>
      <c r="I124" s="7" t="s">
        <v>9</v>
      </c>
      <c r="J124" s="7"/>
      <c r="K124" s="7"/>
      <c r="L124" s="7" t="s">
        <v>10</v>
      </c>
      <c r="N124" s="18"/>
    </row>
    <row r="125" spans="1:14">
      <c r="A125" s="5"/>
      <c r="G125" s="7" t="s">
        <v>11</v>
      </c>
      <c r="H125" s="7"/>
      <c r="I125" s="7" t="s">
        <v>12</v>
      </c>
      <c r="J125" s="7"/>
      <c r="K125" s="7"/>
      <c r="L125" s="7" t="s">
        <v>13</v>
      </c>
      <c r="N125" s="18"/>
    </row>
    <row r="126" spans="1:14">
      <c r="A126" s="6" t="s">
        <v>14</v>
      </c>
      <c r="B126" s="7" t="s">
        <v>15</v>
      </c>
      <c r="C126" s="7" t="s">
        <v>16</v>
      </c>
      <c r="D126" s="7" t="s">
        <v>17</v>
      </c>
      <c r="E126" s="7" t="s">
        <v>18</v>
      </c>
      <c r="F126" s="7" t="s">
        <v>19</v>
      </c>
      <c r="G126" s="7" t="s">
        <v>20</v>
      </c>
      <c r="H126" s="7" t="s">
        <v>21</v>
      </c>
      <c r="I126" s="7" t="s">
        <v>22</v>
      </c>
      <c r="J126" s="7" t="s">
        <v>20</v>
      </c>
      <c r="K126" s="7" t="s">
        <v>21</v>
      </c>
      <c r="L126" s="7" t="s">
        <v>22</v>
      </c>
      <c r="M126" s="7" t="s">
        <v>20</v>
      </c>
      <c r="N126" s="19" t="s">
        <v>21</v>
      </c>
    </row>
    <row r="127" spans="1:14">
      <c r="A127" s="11" t="s">
        <v>71</v>
      </c>
      <c r="B127" s="1">
        <v>3302002546</v>
      </c>
      <c r="C127" s="1">
        <v>17</v>
      </c>
      <c r="D127" s="1">
        <v>0</v>
      </c>
      <c r="E127" s="1">
        <v>1732</v>
      </c>
      <c r="F127" s="1" t="s">
        <v>24</v>
      </c>
      <c r="G127" s="1"/>
      <c r="H127" s="1"/>
      <c r="I127" s="1">
        <v>17</v>
      </c>
      <c r="J127" s="1">
        <v>17</v>
      </c>
      <c r="K127" s="1">
        <v>17</v>
      </c>
      <c r="L127" s="1">
        <v>17</v>
      </c>
      <c r="M127" s="1">
        <v>17</v>
      </c>
      <c r="N127" s="26">
        <v>17</v>
      </c>
    </row>
    <row r="128" ht="17" spans="1:1">
      <c r="A128" s="24" t="s">
        <v>61</v>
      </c>
    </row>
    <row r="129" spans="1:1">
      <c r="A129" t="s">
        <v>72</v>
      </c>
    </row>
    <row r="130" spans="1:1">
      <c r="A130" t="s">
        <v>73</v>
      </c>
    </row>
    <row r="131" spans="1:1">
      <c r="A131" t="s">
        <v>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yongh</dc:creator>
  <cp:lastModifiedBy>漫漫</cp:lastModifiedBy>
  <dcterms:created xsi:type="dcterms:W3CDTF">2026-05-29T09:26:00Z</dcterms:created>
  <dcterms:modified xsi:type="dcterms:W3CDTF">2026-06-01T15:34:23Z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CB3AC109402C49AC9976B763F73D2938_13</vt:lpwstr>
  </property>
  <property fmtid="{D5CDD505-2E9C-101B-9397-08002B2CF9AE}" pid="3" name="KSOProductBuildVer">
    <vt:lpwstr>2052-4.1.0.6538</vt:lpwstr>
  </property>
  <property fmtid="{D5CDD505-2E9C-101B-9397-08002B2CF9AE}" pid="4" name="CalculationRule">
    <vt:i4>1</vt:i4>
  </property>
</Properties>
</file>