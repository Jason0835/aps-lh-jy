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060"/>
  </bookViews>
  <sheets>
    <sheet name="增机台逻辑" sheetId="3" r:id="rId1"/>
  </sheets>
  <definedNames>
    <definedName name="查询常用字段_单据日期_从">#REF!</definedName>
  </definedNames>
  <calcPr calcId="144525" concurrentCalc="0"/>
</workbook>
</file>

<file path=xl/sharedStrings.xml><?xml version="1.0" encoding="utf-8"?>
<sst xmlns="http://schemas.openxmlformats.org/spreadsheetml/2006/main" count="67">
  <si>
    <t>增机台逻辑整理：</t>
  </si>
  <si>
    <t>截止今日累计待产超过X条（参数）或在机台数满足不了第二天月计划量或仅有欠产，可以考虑加机台</t>
  </si>
  <si>
    <t>前置：</t>
  </si>
  <si>
    <t xml:space="preserve">T日：2个班次 早、中班  </t>
  </si>
  <si>
    <t>T+1日：3个班次 晚、早、中班</t>
  </si>
  <si>
    <t>T+2日：3个班次 晚、早、中班</t>
  </si>
  <si>
    <t>情况1：硫化参数配置欠产超过150条，需要增机台</t>
  </si>
  <si>
    <t>例子</t>
  </si>
  <si>
    <t>新增排产，非收尾</t>
  </si>
  <si>
    <t>第一个场景新增：</t>
  </si>
  <si>
    <t>每天需排产量</t>
  </si>
  <si>
    <t>月初截止今日累计欠产</t>
  </si>
  <si>
    <t>累计欠产量</t>
  </si>
  <si>
    <t>日排产总计划量</t>
  </si>
  <si>
    <t>日月计划</t>
  </si>
  <si>
    <t>9号</t>
  </si>
  <si>
    <t>10号</t>
  </si>
  <si>
    <t>11号</t>
  </si>
  <si>
    <t>day1</t>
  </si>
  <si>
    <t>day2</t>
  </si>
  <si>
    <t>day3</t>
  </si>
  <si>
    <t>机台</t>
  </si>
  <si>
    <t>计划物料</t>
  </si>
  <si>
    <t>班产</t>
  </si>
  <si>
    <t>完成量</t>
  </si>
  <si>
    <t>硫化余量</t>
  </si>
  <si>
    <t>排产类型</t>
  </si>
  <si>
    <t>早</t>
  </si>
  <si>
    <t>中</t>
  </si>
  <si>
    <t>夜</t>
  </si>
  <si>
    <t>K1115</t>
  </si>
  <si>
    <t>换模新增</t>
  </si>
  <si>
    <t>K1116</t>
  </si>
  <si>
    <t>K1117</t>
  </si>
  <si>
    <t>备注：</t>
  </si>
  <si>
    <t>1、月初截止今日累计欠产：192，超过硫化参数设置的阈值：150，因此第一天需要增加机台，需要增加多少台机台需要根据是否可以完成累计欠产和日月计划量进行判断（具体规则，可以结合场景1定，可以给更好的建议）</t>
  </si>
  <si>
    <t>2、SKU非收尾情况下，班次需满产，不需要有尾量</t>
  </si>
  <si>
    <t>3、月初截止今日累计欠产 = 排程日期所在月份第一天到排程日期T日累计欠产，T日欠产指的是晚班的欠产</t>
  </si>
  <si>
    <t>4、T日需排产量要扣掉T日晚班的完成量</t>
  </si>
  <si>
    <t>第二个场景新增：</t>
  </si>
  <si>
    <t>1、第一天不需要加机台，因为累计欠产：132，不超过阈值：150，且机台数可以满足第二天的月计划量，此处是1台机台（班产16）就能满足月计划量48；第二天机台1台也可以满足第三天的月计划量，所以第二天也不用加机台，第三天不需要看后一天；</t>
  </si>
  <si>
    <t>3、如果是按照现有的逻辑，是需要增加一台机台的，但是增加的机台是需要排2个班次，T日早班换模、中班排产，T+1日晚班排产，排完之后就得下机，这样2个班就下机了，产能利用比较不好，所以现在业务上新的逻辑要求通过阈值判断是否增加机台（这种方式是否合理，可以提出建议）</t>
  </si>
  <si>
    <t>情况2：机台数满足不了第二天月计划量</t>
  </si>
  <si>
    <t>第三个场景新增：</t>
  </si>
  <si>
    <t>1、先判断月初截止今日累计欠产和T日欠产量是否超过150</t>
  </si>
  <si>
    <t>如果超过，T日就需要加机台（这个场景，不超过阈值）</t>
  </si>
  <si>
    <t>如果不超过，判断T日的后一天，当前机台是否可以满足需求，如果可以则不需要加机台，如果不能，则当天T日需要增加机台（这个场景第一天需要加一台机台）</t>
  </si>
  <si>
    <t xml:space="preserve"> 1）到了T+1日，判断后一天T+2日，当前机台数是否可以满足需求，如果可以则不需要加机台，如果不能，则当天T+1日需要增加机台（这个场景第二天需要加一台机台）</t>
  </si>
  <si>
    <t xml:space="preserve"> 2）到了T+2日，是最后一天，无需判断后一天</t>
  </si>
  <si>
    <t>2、SKU非收尾情况下，只需要生产完尾量所在班次的班产就行，比如尾量是：8，班产是16，需要生产到班产：16，如以上场景3</t>
  </si>
  <si>
    <t>第四个场景新增：</t>
  </si>
  <si>
    <t>如果超过，T日就需要加机台（这个场景不超过阈值）</t>
  </si>
  <si>
    <t>如果不超过，判断T日的后一天，当前机台是否可以满足需求，如果可以则不需要加机台，如果不能，则当天T日需要增加机台（这个场景，第一天需要加一台机台）</t>
  </si>
  <si>
    <t xml:space="preserve">  1）到了T+1日，判断后一天T+2日，当前机台数是否可以满足需求，如果可以则不需要加机台，如果不能，则当天T+1日需要增加机台（这个场景，第二天不需要加机台）</t>
  </si>
  <si>
    <t xml:space="preserve">  2）到了T+2日，是最后一天，无需判断后一天</t>
  </si>
  <si>
    <t>2、SKU非收尾情况下，如果当前排的所有机台满足不了月计划量和欠产量，需要满排能排满的班次，如：以上场景4</t>
  </si>
  <si>
    <t>情况3：延迟很久没有排上，后面月计划日排产量为0情况</t>
  </si>
  <si>
    <t>新增排产，收尾</t>
  </si>
  <si>
    <t>第五个场景新增：</t>
  </si>
  <si>
    <t>1、月初截止今日累计欠产：100，排程的T~T+2的月计划的日计划量三天都为0，且后续截止到月底最后一天月计划的日计划量也都为0</t>
  </si>
  <si>
    <t>2、这个SKU为收尾情况，严格按照余量进行排，不超出</t>
  </si>
  <si>
    <t>情况4：前面延迟很久没有排上，后面月计划日排产量为0情况，但是月底，比如23号开始有计划量</t>
  </si>
  <si>
    <t>第六个场景新增：</t>
  </si>
  <si>
    <t>下机收尾</t>
  </si>
  <si>
    <t>1、月初截止今日累计欠产：100，排程的T~T+2的月计划的日计划量三天都为0，但是后续月底有月计划的日计划量，比如：月底23号计划量=48</t>
  </si>
  <si>
    <t>2、这个SKU为非收尾情况，严格按照欠产量进行排，不超出</t>
  </si>
  <si>
    <t>3、后续这个SKU如果续作排产的时候，降模得注意这种情况，不要进行降模减机台，因为还有余量没有完成，这种情况下SKU非收尾的时候，不需要降模，要继续完成余量</t>
  </si>
</sst>
</file>

<file path=xl/styles.xml><?xml version="1.0" encoding="utf-8"?>
<styleSheet xmlns="http://schemas.openxmlformats.org/spreadsheetml/2006/main">
  <numFmts count="4">
    <numFmt numFmtId="41" formatCode="_ * #,##0_ ;_ * \-#,##0_ ;_ * &quot;-&quot;_ ;_ @_ "/>
    <numFmt numFmtId="43" formatCode="_ * #,##0.00_ ;_ * \-#,##0.00_ ;_ * &quot;-&quot;??_ ;_ @_ "/>
    <numFmt numFmtId="44" formatCode="_ &quot;￥&quot;* #,##0.00_ ;_ &quot;￥&quot;* \-#,##0.00_ ;_ &quot;￥&quot;* &quot;-&quot;??_ ;_ @_ "/>
    <numFmt numFmtId="42" formatCode="_ &quot;￥&quot;* #,##0_ ;_ &quot;￥&quot;* \-#,##0_ ;_ &quot;￥&quot;* &quot;-&quot;_ ;_ @_ "/>
  </numFmts>
  <fonts count="22">
    <font>
      <sz val="11"/>
      <color theme="1"/>
      <name val="宋体"/>
      <charset val="134"/>
      <scheme val="minor"/>
    </font>
    <font>
      <b/>
      <sz val="11"/>
      <color theme="1"/>
      <name val="宋体"/>
      <charset val="134"/>
      <scheme val="minor"/>
    </font>
    <font>
      <b/>
      <sz val="16"/>
      <color theme="1"/>
      <name val="宋体"/>
      <charset val="134"/>
      <scheme val="minor"/>
    </font>
    <font>
      <sz val="11"/>
      <color rgb="FFFA7D00"/>
      <name val="宋体"/>
      <charset val="0"/>
      <scheme val="minor"/>
    </font>
    <font>
      <sz val="11"/>
      <color theme="1"/>
      <name val="宋体"/>
      <charset val="0"/>
      <scheme val="minor"/>
    </font>
    <font>
      <sz val="11"/>
      <color theme="0"/>
      <name val="宋体"/>
      <charset val="0"/>
      <scheme val="minor"/>
    </font>
    <font>
      <b/>
      <sz val="13"/>
      <color theme="3"/>
      <name val="宋体"/>
      <charset val="134"/>
      <scheme val="minor"/>
    </font>
    <font>
      <u/>
      <sz val="11"/>
      <color rgb="FF0000FF"/>
      <name val="宋体"/>
      <charset val="0"/>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sz val="11"/>
      <color rgb="FFFF0000"/>
      <name val="宋体"/>
      <charset val="0"/>
      <scheme val="minor"/>
    </font>
    <font>
      <sz val="11"/>
      <color rgb="FF9C6500"/>
      <name val="宋体"/>
      <charset val="0"/>
      <scheme val="minor"/>
    </font>
    <font>
      <b/>
      <sz val="11"/>
      <color rgb="FF3F3F3F"/>
      <name val="宋体"/>
      <charset val="0"/>
      <scheme val="minor"/>
    </font>
    <font>
      <b/>
      <sz val="11"/>
      <color rgb="FFFFFFFF"/>
      <name val="宋体"/>
      <charset val="0"/>
      <scheme val="minor"/>
    </font>
    <font>
      <sz val="11"/>
      <color rgb="FF9C0006"/>
      <name val="宋体"/>
      <charset val="0"/>
      <scheme val="minor"/>
    </font>
    <font>
      <b/>
      <sz val="11"/>
      <color theme="1"/>
      <name val="宋体"/>
      <charset val="0"/>
      <scheme val="minor"/>
    </font>
    <font>
      <sz val="11"/>
      <color rgb="FF006100"/>
      <name val="宋体"/>
      <charset val="0"/>
      <scheme val="minor"/>
    </font>
    <font>
      <b/>
      <sz val="11"/>
      <color rgb="FFFA7D00"/>
      <name val="宋体"/>
      <charset val="0"/>
      <scheme val="minor"/>
    </font>
    <font>
      <b/>
      <sz val="18"/>
      <color theme="3"/>
      <name val="宋体"/>
      <charset val="134"/>
      <scheme val="minor"/>
    </font>
    <font>
      <sz val="11"/>
      <color rgb="FF3F3F76"/>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rgb="FF00B0F0"/>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theme="9"/>
        <bgColor indexed="64"/>
      </patternFill>
    </fill>
    <fill>
      <patternFill patternType="solid">
        <fgColor rgb="FFFFFFCC"/>
        <bgColor indexed="64"/>
      </patternFill>
    </fill>
    <fill>
      <patternFill patternType="solid">
        <fgColor theme="6"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theme="9" tint="0.399975585192419"/>
        <bgColor indexed="64"/>
      </patternFill>
    </fill>
    <fill>
      <patternFill patternType="solid">
        <fgColor rgb="FFC6EFCE"/>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7" tint="0.399975585192419"/>
        <bgColor indexed="64"/>
      </patternFill>
    </fill>
    <fill>
      <patternFill patternType="solid">
        <fgColor theme="7"/>
        <bgColor indexed="64"/>
      </patternFill>
    </fill>
    <fill>
      <patternFill patternType="solid">
        <fgColor rgb="FFFFCC99"/>
        <bgColor indexed="64"/>
      </patternFill>
    </fill>
    <fill>
      <patternFill patternType="solid">
        <fgColor theme="6"/>
        <bgColor indexed="64"/>
      </patternFill>
    </fill>
  </fills>
  <borders count="19">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s>
  <cellStyleXfs count="49">
    <xf numFmtId="0" fontId="0" fillId="0" borderId="0">
      <alignment vertical="center"/>
    </xf>
    <xf numFmtId="0" fontId="5" fillId="20" borderId="0" applyNumberFormat="0" applyBorder="0" applyAlignment="0" applyProtection="0">
      <alignment vertical="center"/>
    </xf>
    <xf numFmtId="0" fontId="4" fillId="25" borderId="0" applyNumberFormat="0" applyBorder="0" applyAlignment="0" applyProtection="0">
      <alignment vertical="center"/>
    </xf>
    <xf numFmtId="0" fontId="5" fillId="32" borderId="0" applyNumberFormat="0" applyBorder="0" applyAlignment="0" applyProtection="0">
      <alignment vertical="center"/>
    </xf>
    <xf numFmtId="0" fontId="21" fillId="33" borderId="18" applyNumberFormat="0" applyAlignment="0" applyProtection="0">
      <alignment vertical="center"/>
    </xf>
    <xf numFmtId="0" fontId="4" fillId="27" borderId="0" applyNumberFormat="0" applyBorder="0" applyAlignment="0" applyProtection="0">
      <alignment vertical="center"/>
    </xf>
    <xf numFmtId="0" fontId="4" fillId="30" borderId="0" applyNumberFormat="0" applyBorder="0" applyAlignment="0" applyProtection="0">
      <alignment vertical="center"/>
    </xf>
    <xf numFmtId="44" fontId="0" fillId="0" borderId="0" applyFont="0" applyFill="0" applyBorder="0" applyAlignment="0" applyProtection="0">
      <alignment vertical="center"/>
    </xf>
    <xf numFmtId="0" fontId="5" fillId="34" borderId="0" applyNumberFormat="0" applyBorder="0" applyAlignment="0" applyProtection="0">
      <alignment vertical="center"/>
    </xf>
    <xf numFmtId="9" fontId="0" fillId="0" borderId="0" applyFont="0" applyFill="0" applyBorder="0" applyAlignment="0" applyProtection="0">
      <alignment vertical="center"/>
    </xf>
    <xf numFmtId="0" fontId="5" fillId="6" borderId="0" applyNumberFormat="0" applyBorder="0" applyAlignment="0" applyProtection="0">
      <alignment vertical="center"/>
    </xf>
    <xf numFmtId="0" fontId="5" fillId="26" borderId="0" applyNumberFormat="0" applyBorder="0" applyAlignment="0" applyProtection="0">
      <alignment vertical="center"/>
    </xf>
    <xf numFmtId="0" fontId="5" fillId="10" borderId="0" applyNumberFormat="0" applyBorder="0" applyAlignment="0" applyProtection="0">
      <alignment vertical="center"/>
    </xf>
    <xf numFmtId="0" fontId="5" fillId="13" borderId="0" applyNumberFormat="0" applyBorder="0" applyAlignment="0" applyProtection="0">
      <alignment vertical="center"/>
    </xf>
    <xf numFmtId="0" fontId="5" fillId="31" borderId="0" applyNumberFormat="0" applyBorder="0" applyAlignment="0" applyProtection="0">
      <alignment vertical="center"/>
    </xf>
    <xf numFmtId="0" fontId="19" fillId="17" borderId="18" applyNumberFormat="0" applyAlignment="0" applyProtection="0">
      <alignment vertical="center"/>
    </xf>
    <xf numFmtId="0" fontId="5" fillId="3" borderId="0" applyNumberFormat="0" applyBorder="0" applyAlignment="0" applyProtection="0">
      <alignment vertical="center"/>
    </xf>
    <xf numFmtId="0" fontId="13" fillId="16" borderId="0" applyNumberFormat="0" applyBorder="0" applyAlignment="0" applyProtection="0">
      <alignment vertical="center"/>
    </xf>
    <xf numFmtId="0" fontId="4" fillId="22" borderId="0" applyNumberFormat="0" applyBorder="0" applyAlignment="0" applyProtection="0">
      <alignment vertical="center"/>
    </xf>
    <xf numFmtId="0" fontId="18" fillId="21" borderId="0" applyNumberFormat="0" applyBorder="0" applyAlignment="0" applyProtection="0">
      <alignment vertical="center"/>
    </xf>
    <xf numFmtId="0" fontId="4" fillId="23" borderId="0" applyNumberFormat="0" applyBorder="0" applyAlignment="0" applyProtection="0">
      <alignment vertical="center"/>
    </xf>
    <xf numFmtId="0" fontId="17" fillId="0" borderId="17" applyNumberFormat="0" applyFill="0" applyAlignment="0" applyProtection="0">
      <alignment vertical="center"/>
    </xf>
    <xf numFmtId="0" fontId="16" fillId="19" borderId="0" applyNumberFormat="0" applyBorder="0" applyAlignment="0" applyProtection="0">
      <alignment vertical="center"/>
    </xf>
    <xf numFmtId="0" fontId="15" fillId="18" borderId="16" applyNumberFormat="0" applyAlignment="0" applyProtection="0">
      <alignment vertical="center"/>
    </xf>
    <xf numFmtId="0" fontId="14" fillId="17" borderId="14" applyNumberFormat="0" applyAlignment="0" applyProtection="0">
      <alignment vertical="center"/>
    </xf>
    <xf numFmtId="0" fontId="11" fillId="0" borderId="12" applyNumberFormat="0" applyFill="0" applyAlignment="0" applyProtection="0">
      <alignment vertical="center"/>
    </xf>
    <xf numFmtId="0" fontId="10" fillId="0" borderId="0" applyNumberFormat="0" applyFill="0" applyBorder="0" applyAlignment="0" applyProtection="0">
      <alignment vertical="center"/>
    </xf>
    <xf numFmtId="0" fontId="4" fillId="12" borderId="0" applyNumberFormat="0" applyBorder="0" applyAlignment="0" applyProtection="0">
      <alignment vertical="center"/>
    </xf>
    <xf numFmtId="0" fontId="9" fillId="0" borderId="0" applyNumberFormat="0" applyFill="0" applyBorder="0" applyAlignment="0" applyProtection="0">
      <alignment vertical="center"/>
    </xf>
    <xf numFmtId="42" fontId="0" fillId="0" borderId="0" applyFont="0" applyFill="0" applyBorder="0" applyAlignment="0" applyProtection="0">
      <alignment vertical="center"/>
    </xf>
    <xf numFmtId="0" fontId="4" fillId="15" borderId="0" applyNumberFormat="0" applyBorder="0" applyAlignment="0" applyProtection="0">
      <alignment vertical="center"/>
    </xf>
    <xf numFmtId="43"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4" fillId="11" borderId="0" applyNumberFormat="0" applyBorder="0" applyAlignment="0" applyProtection="0">
      <alignment vertical="center"/>
    </xf>
    <xf numFmtId="0" fontId="12" fillId="0" borderId="0" applyNumberFormat="0" applyFill="0" applyBorder="0" applyAlignment="0" applyProtection="0">
      <alignment vertical="center"/>
    </xf>
    <xf numFmtId="0" fontId="5" fillId="9" borderId="0" applyNumberFormat="0" applyBorder="0" applyAlignment="0" applyProtection="0">
      <alignment vertical="center"/>
    </xf>
    <xf numFmtId="0" fontId="0" fillId="8" borderId="13" applyNumberFormat="0" applyFont="0" applyAlignment="0" applyProtection="0">
      <alignment vertical="center"/>
    </xf>
    <xf numFmtId="0" fontId="4" fillId="29" borderId="0" applyNumberFormat="0" applyBorder="0" applyAlignment="0" applyProtection="0">
      <alignment vertical="center"/>
    </xf>
    <xf numFmtId="0" fontId="5" fillId="28" borderId="0" applyNumberFormat="0" applyBorder="0" applyAlignment="0" applyProtection="0">
      <alignment vertical="center"/>
    </xf>
    <xf numFmtId="0" fontId="4" fillId="14" borderId="0" applyNumberFormat="0" applyBorder="0" applyAlignment="0" applyProtection="0">
      <alignment vertical="center"/>
    </xf>
    <xf numFmtId="0" fontId="7" fillId="0" borderId="0" applyNumberFormat="0" applyFill="0" applyBorder="0" applyAlignment="0" applyProtection="0">
      <alignment vertical="center"/>
    </xf>
    <xf numFmtId="41" fontId="0" fillId="0" borderId="0" applyFont="0" applyFill="0" applyBorder="0" applyAlignment="0" applyProtection="0">
      <alignment vertical="center"/>
    </xf>
    <xf numFmtId="0" fontId="6" fillId="0" borderId="12" applyNumberFormat="0" applyFill="0" applyAlignment="0" applyProtection="0">
      <alignment vertical="center"/>
    </xf>
    <xf numFmtId="0" fontId="4" fillId="24" borderId="0" applyNumberFormat="0" applyBorder="0" applyAlignment="0" applyProtection="0">
      <alignment vertical="center"/>
    </xf>
    <xf numFmtId="0" fontId="9" fillId="0" borderId="15" applyNumberFormat="0" applyFill="0" applyAlignment="0" applyProtection="0">
      <alignment vertical="center"/>
    </xf>
    <xf numFmtId="0" fontId="5" fillId="7" borderId="0" applyNumberFormat="0" applyBorder="0" applyAlignment="0" applyProtection="0">
      <alignment vertical="center"/>
    </xf>
    <xf numFmtId="0" fontId="4" fillId="5" borderId="0" applyNumberFormat="0" applyBorder="0" applyAlignment="0" applyProtection="0">
      <alignment vertical="center"/>
    </xf>
    <xf numFmtId="0" fontId="3" fillId="0" borderId="11" applyNumberFormat="0" applyFill="0" applyAlignment="0" applyProtection="0">
      <alignment vertical="center"/>
    </xf>
  </cellStyleXfs>
  <cellXfs count="20">
    <xf numFmtId="0" fontId="0" fillId="0" borderId="0" xfId="0">
      <alignment vertical="center"/>
    </xf>
    <xf numFmtId="0" fontId="1" fillId="0" borderId="0" xfId="0" applyFont="1" applyFill="1" applyAlignment="1"/>
    <xf numFmtId="0" fontId="0" fillId="0" borderId="0" xfId="0" applyFill="1" applyAlignment="1"/>
    <xf numFmtId="0" fontId="2" fillId="2" borderId="0" xfId="0" applyFont="1" applyFill="1" applyAlignment="1"/>
    <xf numFmtId="0" fontId="0" fillId="0" borderId="1" xfId="0" applyFill="1" applyBorder="1" applyAlignment="1">
      <alignment vertical="center"/>
    </xf>
    <xf numFmtId="0" fontId="0" fillId="0" borderId="2" xfId="0" applyFill="1" applyBorder="1" applyAlignment="1">
      <alignment vertical="center"/>
    </xf>
    <xf numFmtId="0" fontId="1" fillId="3" borderId="3" xfId="0" applyFont="1" applyFill="1" applyBorder="1" applyAlignment="1">
      <alignment vertical="center"/>
    </xf>
    <xf numFmtId="0" fontId="0" fillId="0" borderId="0" xfId="0" applyFill="1" applyAlignment="1">
      <alignment vertical="center"/>
    </xf>
    <xf numFmtId="0" fontId="0" fillId="0" borderId="3" xfId="0" applyFill="1" applyBorder="1" applyAlignment="1">
      <alignment vertical="center"/>
    </xf>
    <xf numFmtId="0" fontId="1" fillId="0" borderId="0" xfId="0" applyFont="1" applyFill="1" applyAlignment="1">
      <alignment vertical="center"/>
    </xf>
    <xf numFmtId="0" fontId="1" fillId="4" borderId="3" xfId="0" applyFont="1" applyFill="1" applyBorder="1" applyAlignment="1">
      <alignment vertical="center"/>
    </xf>
    <xf numFmtId="0" fontId="1" fillId="4" borderId="0" xfId="0" applyFont="1" applyFill="1" applyAlignment="1">
      <alignment vertical="center"/>
    </xf>
    <xf numFmtId="0" fontId="0" fillId="0" borderId="4" xfId="0" applyFill="1" applyBorder="1" applyAlignment="1">
      <alignment vertical="center"/>
    </xf>
    <xf numFmtId="0" fontId="0" fillId="0" borderId="5" xfId="0" applyFill="1" applyBorder="1" applyAlignment="1">
      <alignment vertical="center"/>
    </xf>
    <xf numFmtId="0" fontId="0" fillId="0" borderId="6" xfId="0" applyFill="1" applyBorder="1" applyAlignment="1">
      <alignment vertical="center"/>
    </xf>
    <xf numFmtId="0" fontId="0" fillId="0" borderId="7" xfId="0" applyFill="1" applyBorder="1" applyAlignment="1">
      <alignment vertical="center"/>
    </xf>
    <xf numFmtId="0" fontId="1" fillId="4" borderId="7" xfId="0" applyFont="1" applyFill="1" applyBorder="1" applyAlignment="1">
      <alignment vertical="center"/>
    </xf>
    <xf numFmtId="0" fontId="0" fillId="0" borderId="8" xfId="0" applyFill="1" applyBorder="1" applyAlignment="1">
      <alignment vertical="center"/>
    </xf>
    <xf numFmtId="0" fontId="0" fillId="0" borderId="9" xfId="0" applyFill="1" applyBorder="1" applyAlignment="1">
      <alignment vertical="center"/>
    </xf>
    <xf numFmtId="0" fontId="0" fillId="0" borderId="10" xfId="0" applyFill="1" applyBorder="1" applyAlignment="1">
      <alignmen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O131"/>
  <sheetViews>
    <sheetView tabSelected="1" topLeftCell="A109" workbookViewId="0">
      <selection activeCell="I131" sqref="I131"/>
    </sheetView>
  </sheetViews>
  <sheetFormatPr defaultColWidth="9" defaultRowHeight="16.8"/>
  <cols>
    <col min="2" max="2" width="21.5" customWidth="1"/>
    <col min="6" max="6" width="18.25" customWidth="1"/>
  </cols>
  <sheetData>
    <row r="1" s="1" customFormat="1" spans="1:1">
      <c r="A1" s="1" t="s">
        <v>0</v>
      </c>
    </row>
    <row r="2" s="2" customFormat="1"/>
    <row r="3" s="3" customFormat="1" ht="23.2" spans="1:1">
      <c r="A3" s="3" t="s">
        <v>1</v>
      </c>
    </row>
    <row r="4" s="2" customFormat="1"/>
    <row r="5" s="2" customFormat="1" spans="1:1">
      <c r="A5" s="2" t="s">
        <v>2</v>
      </c>
    </row>
    <row r="6" s="2" customFormat="1" spans="1:1">
      <c r="A6" t="s">
        <v>3</v>
      </c>
    </row>
    <row r="7" s="2" customFormat="1" spans="1:1">
      <c r="A7" s="2" t="s">
        <v>4</v>
      </c>
    </row>
    <row r="8" s="2" customFormat="1" spans="1:1">
      <c r="A8" s="2" t="s">
        <v>5</v>
      </c>
    </row>
    <row r="9" s="2" customFormat="1"/>
    <row r="10" s="2" customFormat="1"/>
    <row r="11" s="2" customFormat="1"/>
    <row r="12" s="1" customFormat="1" spans="1:1">
      <c r="A12" s="1" t="s">
        <v>6</v>
      </c>
    </row>
    <row r="13" s="2" customFormat="1" spans="1:1">
      <c r="A13" s="2" t="s">
        <v>7</v>
      </c>
    </row>
    <row r="14" s="2" customFormat="1"/>
    <row r="15" s="2" customFormat="1" spans="1:14">
      <c r="A15" s="4" t="s">
        <v>8</v>
      </c>
      <c r="B15" s="5"/>
      <c r="C15" s="5"/>
      <c r="D15" s="5"/>
      <c r="E15" s="5"/>
      <c r="F15" s="5"/>
      <c r="G15" s="5"/>
      <c r="H15" s="5"/>
      <c r="I15" s="5"/>
      <c r="J15" s="5"/>
      <c r="K15" s="5"/>
      <c r="L15" s="5"/>
      <c r="M15" s="5"/>
      <c r="N15" s="14"/>
    </row>
    <row r="16" s="2" customFormat="1" spans="1:14">
      <c r="A16" s="6" t="s">
        <v>9</v>
      </c>
      <c r="B16" s="7"/>
      <c r="D16" s="7"/>
      <c r="E16" s="7"/>
      <c r="F16" s="9" t="s">
        <v>10</v>
      </c>
      <c r="G16" s="7">
        <f>G19-D23</f>
        <v>48</v>
      </c>
      <c r="H16" s="7"/>
      <c r="I16" s="7">
        <f>I19+G17</f>
        <v>240</v>
      </c>
      <c r="J16" s="7"/>
      <c r="K16" s="7"/>
      <c r="L16" s="7">
        <f>L19+I17</f>
        <v>144</v>
      </c>
      <c r="M16" s="7"/>
      <c r="N16" s="15"/>
    </row>
    <row r="17" s="2" customFormat="1" spans="1:14">
      <c r="A17" s="8"/>
      <c r="B17" s="9" t="s">
        <v>11</v>
      </c>
      <c r="C17" s="2">
        <v>192</v>
      </c>
      <c r="E17" s="7"/>
      <c r="F17" s="9" t="s">
        <v>12</v>
      </c>
      <c r="G17" s="7">
        <f>G19-G18+C17</f>
        <v>192</v>
      </c>
      <c r="H17" s="7"/>
      <c r="I17" s="7">
        <f>I16-I18</f>
        <v>96</v>
      </c>
      <c r="J17" s="7"/>
      <c r="K17" s="7"/>
      <c r="L17" s="7">
        <f>L16-L18</f>
        <v>0</v>
      </c>
      <c r="M17" s="7"/>
      <c r="N17" s="15"/>
    </row>
    <row r="18" s="2" customFormat="1" spans="1:14">
      <c r="A18" s="8"/>
      <c r="B18" s="7"/>
      <c r="C18" s="7"/>
      <c r="D18" s="7"/>
      <c r="E18" s="7"/>
      <c r="F18" s="9" t="s">
        <v>13</v>
      </c>
      <c r="G18" s="7">
        <f>G23+G24+H23+H24+G25+H25</f>
        <v>48</v>
      </c>
      <c r="H18" s="7"/>
      <c r="I18" s="7">
        <f>I23+J23+K23+I24+J24+K24+I25+J25+K25</f>
        <v>144</v>
      </c>
      <c r="J18" s="7"/>
      <c r="K18" s="7"/>
      <c r="L18" s="7">
        <f>L23+M23+N23+L24+M24+N24+L25+M25+N25</f>
        <v>144</v>
      </c>
      <c r="M18" s="7"/>
      <c r="N18" s="15"/>
    </row>
    <row r="19" s="2" customFormat="1" spans="1:14">
      <c r="A19" s="8"/>
      <c r="B19" s="7"/>
      <c r="C19" s="7"/>
      <c r="D19" s="7"/>
      <c r="E19" s="7"/>
      <c r="F19" s="9" t="s">
        <v>14</v>
      </c>
      <c r="G19" s="7">
        <v>48</v>
      </c>
      <c r="H19" s="7"/>
      <c r="I19" s="7">
        <v>48</v>
      </c>
      <c r="J19" s="7"/>
      <c r="K19" s="7"/>
      <c r="L19" s="7">
        <v>48</v>
      </c>
      <c r="M19" s="7"/>
      <c r="N19" s="15"/>
    </row>
    <row r="20" s="2" customFormat="1" spans="1:14">
      <c r="A20" s="8"/>
      <c r="B20" s="7"/>
      <c r="C20" s="7"/>
      <c r="D20" s="7"/>
      <c r="E20" s="7"/>
      <c r="F20" s="7"/>
      <c r="G20" s="11" t="s">
        <v>15</v>
      </c>
      <c r="H20" s="11"/>
      <c r="I20" s="11" t="s">
        <v>16</v>
      </c>
      <c r="J20" s="11"/>
      <c r="K20" s="11"/>
      <c r="L20" s="11" t="s">
        <v>17</v>
      </c>
      <c r="M20" s="7"/>
      <c r="N20" s="15"/>
    </row>
    <row r="21" s="2" customFormat="1" spans="1:14">
      <c r="A21" s="8"/>
      <c r="B21" s="7"/>
      <c r="C21" s="7"/>
      <c r="D21" s="7"/>
      <c r="E21" s="7"/>
      <c r="F21" s="7"/>
      <c r="G21" s="11" t="s">
        <v>18</v>
      </c>
      <c r="H21" s="11"/>
      <c r="I21" s="11" t="s">
        <v>19</v>
      </c>
      <c r="J21" s="11"/>
      <c r="K21" s="11"/>
      <c r="L21" s="11" t="s">
        <v>20</v>
      </c>
      <c r="M21" s="7"/>
      <c r="N21" s="15"/>
    </row>
    <row r="22" s="2" customFormat="1" spans="1:14">
      <c r="A22" s="10" t="s">
        <v>21</v>
      </c>
      <c r="B22" s="11" t="s">
        <v>22</v>
      </c>
      <c r="C22" s="11" t="s">
        <v>23</v>
      </c>
      <c r="D22" s="11" t="s">
        <v>24</v>
      </c>
      <c r="E22" s="11" t="s">
        <v>25</v>
      </c>
      <c r="F22" s="11" t="s">
        <v>26</v>
      </c>
      <c r="G22" s="11" t="s">
        <v>27</v>
      </c>
      <c r="H22" s="11" t="s">
        <v>28</v>
      </c>
      <c r="I22" s="11" t="s">
        <v>29</v>
      </c>
      <c r="J22" s="11" t="s">
        <v>27</v>
      </c>
      <c r="K22" s="11" t="s">
        <v>28</v>
      </c>
      <c r="L22" s="11" t="s">
        <v>29</v>
      </c>
      <c r="M22" s="11" t="s">
        <v>27</v>
      </c>
      <c r="N22" s="16" t="s">
        <v>28</v>
      </c>
    </row>
    <row r="23" s="2" customFormat="1" spans="1:14">
      <c r="A23" s="12" t="s">
        <v>30</v>
      </c>
      <c r="B23" s="12">
        <v>3302001592</v>
      </c>
      <c r="C23" s="12">
        <v>16</v>
      </c>
      <c r="D23" s="12">
        <v>0</v>
      </c>
      <c r="E23" s="12">
        <v>1256</v>
      </c>
      <c r="F23" s="12" t="s">
        <v>31</v>
      </c>
      <c r="G23" s="12"/>
      <c r="H23" s="12">
        <v>16</v>
      </c>
      <c r="I23" s="12">
        <v>16</v>
      </c>
      <c r="J23" s="12">
        <v>16</v>
      </c>
      <c r="K23" s="12">
        <v>16</v>
      </c>
      <c r="L23" s="12">
        <v>16</v>
      </c>
      <c r="M23" s="12">
        <v>16</v>
      </c>
      <c r="N23" s="12">
        <v>16</v>
      </c>
    </row>
    <row r="24" s="2" customFormat="1" spans="1:14">
      <c r="A24" s="13" t="s">
        <v>32</v>
      </c>
      <c r="B24" s="13">
        <v>3302001592</v>
      </c>
      <c r="C24" s="13">
        <v>16</v>
      </c>
      <c r="D24" s="13">
        <v>0</v>
      </c>
      <c r="E24" s="13">
        <v>1256</v>
      </c>
      <c r="F24" s="13" t="s">
        <v>31</v>
      </c>
      <c r="G24" s="13"/>
      <c r="H24" s="13">
        <v>16</v>
      </c>
      <c r="I24" s="13">
        <v>16</v>
      </c>
      <c r="J24" s="13">
        <v>16</v>
      </c>
      <c r="K24" s="13">
        <v>16</v>
      </c>
      <c r="L24" s="13">
        <v>16</v>
      </c>
      <c r="M24" s="13">
        <v>16</v>
      </c>
      <c r="N24" s="13">
        <v>16</v>
      </c>
    </row>
    <row r="25" s="2" customFormat="1" spans="1:14">
      <c r="A25" s="13" t="s">
        <v>33</v>
      </c>
      <c r="B25" s="13">
        <v>3302001592</v>
      </c>
      <c r="C25" s="13">
        <v>16</v>
      </c>
      <c r="D25" s="13">
        <v>0</v>
      </c>
      <c r="E25" s="13">
        <v>1256</v>
      </c>
      <c r="F25" s="13" t="s">
        <v>31</v>
      </c>
      <c r="G25" s="13"/>
      <c r="H25" s="13">
        <v>16</v>
      </c>
      <c r="I25" s="13">
        <v>16</v>
      </c>
      <c r="J25" s="13">
        <v>16</v>
      </c>
      <c r="K25" s="13">
        <v>16</v>
      </c>
      <c r="L25" s="13">
        <v>16</v>
      </c>
      <c r="M25" s="13">
        <v>16</v>
      </c>
      <c r="N25" s="13">
        <v>16</v>
      </c>
    </row>
    <row r="26" s="2" customFormat="1" spans="1:1">
      <c r="A26" s="2" t="s">
        <v>34</v>
      </c>
    </row>
    <row r="27" s="2" customFormat="1" spans="1:1">
      <c r="A27" s="2" t="s">
        <v>35</v>
      </c>
    </row>
    <row r="28" s="2" customFormat="1" spans="1:1">
      <c r="A28" s="2" t="s">
        <v>36</v>
      </c>
    </row>
    <row r="29" s="2" customFormat="1" spans="1:1">
      <c r="A29" s="2" t="s">
        <v>37</v>
      </c>
    </row>
    <row r="30" s="2" customFormat="1" spans="1:1">
      <c r="A30" s="2" t="s">
        <v>38</v>
      </c>
    </row>
    <row r="31" s="2" customFormat="1"/>
    <row r="32" s="2" customFormat="1" spans="1:14">
      <c r="A32" s="4" t="s">
        <v>8</v>
      </c>
      <c r="B32" s="5"/>
      <c r="C32" s="5"/>
      <c r="D32" s="5"/>
      <c r="E32" s="5"/>
      <c r="F32" s="5"/>
      <c r="G32" s="5"/>
      <c r="H32" s="5"/>
      <c r="I32" s="5"/>
      <c r="J32" s="5"/>
      <c r="K32" s="5"/>
      <c r="L32" s="5"/>
      <c r="M32" s="5"/>
      <c r="N32" s="14"/>
    </row>
    <row r="33" s="2" customFormat="1" spans="1:14">
      <c r="A33" s="6" t="s">
        <v>39</v>
      </c>
      <c r="B33" s="7"/>
      <c r="C33" s="7"/>
      <c r="D33" s="7"/>
      <c r="E33" s="7"/>
      <c r="F33" s="9" t="s">
        <v>10</v>
      </c>
      <c r="G33" s="7">
        <f>G36-D40</f>
        <v>48</v>
      </c>
      <c r="H33" s="7"/>
      <c r="I33" s="7">
        <f>I36+G34</f>
        <v>180</v>
      </c>
      <c r="J33" s="7"/>
      <c r="K33" s="7"/>
      <c r="L33" s="7">
        <f>L36+I34</f>
        <v>180</v>
      </c>
      <c r="M33" s="7"/>
      <c r="N33" s="15"/>
    </row>
    <row r="34" s="2" customFormat="1" spans="1:14">
      <c r="A34" s="8"/>
      <c r="B34" s="9" t="s">
        <v>11</v>
      </c>
      <c r="C34" s="2">
        <v>100</v>
      </c>
      <c r="D34" s="7"/>
      <c r="E34" s="7"/>
      <c r="F34" s="9" t="s">
        <v>12</v>
      </c>
      <c r="G34" s="7">
        <f>G36-G35+C34</f>
        <v>132</v>
      </c>
      <c r="H34" s="7"/>
      <c r="I34" s="7">
        <f>I33-I35</f>
        <v>132</v>
      </c>
      <c r="J34" s="7"/>
      <c r="K34" s="7"/>
      <c r="L34" s="7">
        <f>L33-L35</f>
        <v>132</v>
      </c>
      <c r="M34" s="7"/>
      <c r="N34" s="15"/>
    </row>
    <row r="35" s="2" customFormat="1" spans="1:14">
      <c r="A35" s="8"/>
      <c r="B35" s="7"/>
      <c r="C35" s="7"/>
      <c r="D35" s="7"/>
      <c r="E35" s="7"/>
      <c r="F35" s="9" t="s">
        <v>13</v>
      </c>
      <c r="G35" s="7">
        <f>G40+G41+H40+H41+G42+H42</f>
        <v>16</v>
      </c>
      <c r="H35" s="7"/>
      <c r="I35" s="7">
        <f>I40+J40+K40+I41+J41+K41+I42+J42+K42</f>
        <v>48</v>
      </c>
      <c r="J35" s="7"/>
      <c r="K35" s="7"/>
      <c r="L35" s="7">
        <f>L40+M40+N40+L41+M41+N41+L42+M42+N42</f>
        <v>48</v>
      </c>
      <c r="M35" s="7"/>
      <c r="N35" s="15"/>
    </row>
    <row r="36" s="2" customFormat="1" spans="1:14">
      <c r="A36" s="8"/>
      <c r="B36" s="7"/>
      <c r="C36" s="7"/>
      <c r="D36" s="7"/>
      <c r="E36" s="7"/>
      <c r="F36" s="9" t="s">
        <v>14</v>
      </c>
      <c r="G36" s="7">
        <v>48</v>
      </c>
      <c r="H36" s="7"/>
      <c r="I36" s="7">
        <v>48</v>
      </c>
      <c r="J36" s="7"/>
      <c r="K36" s="7"/>
      <c r="L36" s="7">
        <v>48</v>
      </c>
      <c r="M36" s="7"/>
      <c r="N36" s="15"/>
    </row>
    <row r="37" s="2" customFormat="1" spans="1:14">
      <c r="A37" s="8"/>
      <c r="B37" s="7"/>
      <c r="C37" s="7"/>
      <c r="D37" s="7"/>
      <c r="E37" s="7"/>
      <c r="F37" s="7"/>
      <c r="G37" s="11" t="s">
        <v>15</v>
      </c>
      <c r="H37" s="11"/>
      <c r="I37" s="11" t="s">
        <v>16</v>
      </c>
      <c r="J37" s="11"/>
      <c r="K37" s="11"/>
      <c r="L37" s="11" t="s">
        <v>17</v>
      </c>
      <c r="M37" s="7"/>
      <c r="N37" s="15"/>
    </row>
    <row r="38" s="2" customFormat="1" spans="1:14">
      <c r="A38" s="8"/>
      <c r="B38" s="7"/>
      <c r="C38" s="7"/>
      <c r="D38" s="7"/>
      <c r="E38" s="7"/>
      <c r="F38" s="7"/>
      <c r="G38" s="11" t="s">
        <v>18</v>
      </c>
      <c r="H38" s="11"/>
      <c r="I38" s="11" t="s">
        <v>19</v>
      </c>
      <c r="J38" s="11"/>
      <c r="K38" s="11"/>
      <c r="L38" s="11" t="s">
        <v>20</v>
      </c>
      <c r="M38" s="7"/>
      <c r="N38" s="15"/>
    </row>
    <row r="39" s="2" customFormat="1" spans="1:14">
      <c r="A39" s="10" t="s">
        <v>21</v>
      </c>
      <c r="B39" s="11" t="s">
        <v>22</v>
      </c>
      <c r="C39" s="11" t="s">
        <v>23</v>
      </c>
      <c r="D39" s="11" t="s">
        <v>24</v>
      </c>
      <c r="E39" s="11" t="s">
        <v>25</v>
      </c>
      <c r="F39" s="11" t="s">
        <v>26</v>
      </c>
      <c r="G39" s="11" t="s">
        <v>27</v>
      </c>
      <c r="H39" s="11" t="s">
        <v>28</v>
      </c>
      <c r="I39" s="11" t="s">
        <v>29</v>
      </c>
      <c r="J39" s="11" t="s">
        <v>27</v>
      </c>
      <c r="K39" s="11" t="s">
        <v>28</v>
      </c>
      <c r="L39" s="11" t="s">
        <v>29</v>
      </c>
      <c r="M39" s="11" t="s">
        <v>27</v>
      </c>
      <c r="N39" s="16" t="s">
        <v>28</v>
      </c>
    </row>
    <row r="40" s="2" customFormat="1" spans="1:14">
      <c r="A40" s="12" t="s">
        <v>30</v>
      </c>
      <c r="B40" s="12">
        <v>3302001592</v>
      </c>
      <c r="C40" s="12">
        <v>16</v>
      </c>
      <c r="D40" s="12">
        <v>0</v>
      </c>
      <c r="E40" s="12">
        <v>1256</v>
      </c>
      <c r="F40" s="12" t="s">
        <v>31</v>
      </c>
      <c r="G40" s="12"/>
      <c r="H40" s="12">
        <v>16</v>
      </c>
      <c r="I40" s="12">
        <v>16</v>
      </c>
      <c r="J40" s="12">
        <v>16</v>
      </c>
      <c r="K40" s="12">
        <v>16</v>
      </c>
      <c r="L40" s="12">
        <v>16</v>
      </c>
      <c r="M40" s="12">
        <v>16</v>
      </c>
      <c r="N40" s="12">
        <v>16</v>
      </c>
    </row>
    <row r="41" s="2" customFormat="1" spans="1:14">
      <c r="A41" s="13"/>
      <c r="B41" s="13"/>
      <c r="C41" s="13"/>
      <c r="D41" s="13"/>
      <c r="E41" s="13"/>
      <c r="F41" s="13"/>
      <c r="G41" s="13"/>
      <c r="H41" s="13"/>
      <c r="I41" s="13"/>
      <c r="J41" s="13"/>
      <c r="K41" s="13"/>
      <c r="L41" s="13"/>
      <c r="M41" s="13"/>
      <c r="N41" s="13"/>
    </row>
    <row r="42" s="2" customFormat="1" spans="1:14">
      <c r="A42" s="13"/>
      <c r="B42" s="13"/>
      <c r="C42" s="13"/>
      <c r="D42" s="13"/>
      <c r="E42" s="13"/>
      <c r="F42" s="13"/>
      <c r="G42" s="13"/>
      <c r="H42" s="13"/>
      <c r="I42" s="13"/>
      <c r="J42" s="13"/>
      <c r="K42" s="13"/>
      <c r="L42" s="13"/>
      <c r="M42" s="13"/>
      <c r="N42" s="13"/>
    </row>
    <row r="43" s="2" customFormat="1" spans="1:1">
      <c r="A43" s="2" t="s">
        <v>34</v>
      </c>
    </row>
    <row r="44" s="2" customFormat="1" spans="1:1">
      <c r="A44" s="2" t="s">
        <v>40</v>
      </c>
    </row>
    <row r="45" s="2" customFormat="1" spans="1:1">
      <c r="A45" s="2" t="s">
        <v>36</v>
      </c>
    </row>
    <row r="46" s="2" customFormat="1" spans="1:1">
      <c r="A46" s="2" t="s">
        <v>41</v>
      </c>
    </row>
    <row r="47" s="2" customFormat="1"/>
    <row r="48" s="2" customFormat="1"/>
    <row r="49" s="2" customFormat="1"/>
    <row r="50" s="1" customFormat="1" spans="1:1">
      <c r="A50" s="1" t="s">
        <v>42</v>
      </c>
    </row>
    <row r="51" s="2" customFormat="1"/>
    <row r="52" s="2" customFormat="1"/>
    <row r="53" s="2" customFormat="1" spans="1:14">
      <c r="A53" s="4" t="s">
        <v>8</v>
      </c>
      <c r="B53" s="5"/>
      <c r="C53" s="5"/>
      <c r="D53" s="5"/>
      <c r="E53" s="5"/>
      <c r="F53" s="5"/>
      <c r="G53" s="5"/>
      <c r="H53" s="5"/>
      <c r="I53" s="5"/>
      <c r="J53" s="5"/>
      <c r="K53" s="5"/>
      <c r="L53" s="5"/>
      <c r="M53" s="5"/>
      <c r="N53" s="14"/>
    </row>
    <row r="54" s="2" customFormat="1" spans="1:14">
      <c r="A54" s="6" t="s">
        <v>43</v>
      </c>
      <c r="B54" s="7"/>
      <c r="C54" s="7"/>
      <c r="D54" s="7"/>
      <c r="E54" s="7"/>
      <c r="F54" s="9" t="s">
        <v>10</v>
      </c>
      <c r="G54" s="7">
        <f>G57-D61</f>
        <v>48</v>
      </c>
      <c r="H54" s="7"/>
      <c r="I54" s="7">
        <f>I57+G55</f>
        <v>120</v>
      </c>
      <c r="J54" s="7"/>
      <c r="K54" s="7"/>
      <c r="L54" s="7">
        <f>L57+I55</f>
        <v>120</v>
      </c>
      <c r="M54" s="7"/>
      <c r="N54" s="15"/>
    </row>
    <row r="55" s="2" customFormat="1" spans="1:14">
      <c r="A55" s="8"/>
      <c r="B55" s="9" t="s">
        <v>11</v>
      </c>
      <c r="C55" s="2">
        <v>8</v>
      </c>
      <c r="D55" s="7"/>
      <c r="E55" s="7"/>
      <c r="F55" s="9" t="s">
        <v>12</v>
      </c>
      <c r="G55" s="7">
        <f>G57-G56+C55</f>
        <v>24</v>
      </c>
      <c r="H55" s="7"/>
      <c r="I55" s="7">
        <f>I54-I56</f>
        <v>-24</v>
      </c>
      <c r="J55" s="7"/>
      <c r="K55" s="7"/>
      <c r="L55" s="7">
        <f>L54-L56</f>
        <v>-8</v>
      </c>
      <c r="M55" s="7"/>
      <c r="N55" s="15"/>
    </row>
    <row r="56" s="2" customFormat="1" spans="1:14">
      <c r="A56" s="8"/>
      <c r="B56" s="7"/>
      <c r="C56" s="7"/>
      <c r="D56" s="7"/>
      <c r="E56" s="7"/>
      <c r="F56" s="9" t="s">
        <v>13</v>
      </c>
      <c r="G56" s="7">
        <f>G61+G62+H61+H62+G63+H63</f>
        <v>32</v>
      </c>
      <c r="H56" s="7"/>
      <c r="I56" s="7">
        <f>I61+J61+K61+I62+J62+K62+I63+J63+K63</f>
        <v>144</v>
      </c>
      <c r="J56" s="7"/>
      <c r="K56" s="7"/>
      <c r="L56" s="7">
        <f>L61+M61+N61+L62+M62+N62+L63+M63+N63</f>
        <v>128</v>
      </c>
      <c r="M56" s="7"/>
      <c r="N56" s="15"/>
    </row>
    <row r="57" s="2" customFormat="1" spans="1:14">
      <c r="A57" s="8"/>
      <c r="B57" s="7"/>
      <c r="C57" s="7"/>
      <c r="D57" s="7"/>
      <c r="E57" s="7"/>
      <c r="F57" s="9" t="s">
        <v>14</v>
      </c>
      <c r="G57" s="7">
        <v>48</v>
      </c>
      <c r="H57" s="7"/>
      <c r="I57" s="7">
        <v>96</v>
      </c>
      <c r="J57" s="7"/>
      <c r="K57" s="7"/>
      <c r="L57" s="7">
        <v>144</v>
      </c>
      <c r="M57" s="7"/>
      <c r="N57" s="15"/>
    </row>
    <row r="58" s="2" customFormat="1" spans="1:14">
      <c r="A58" s="8"/>
      <c r="B58" s="7"/>
      <c r="C58" s="7"/>
      <c r="D58" s="7"/>
      <c r="E58" s="7"/>
      <c r="F58" s="7"/>
      <c r="G58" s="11" t="s">
        <v>15</v>
      </c>
      <c r="H58" s="11"/>
      <c r="I58" s="11" t="s">
        <v>16</v>
      </c>
      <c r="J58" s="11"/>
      <c r="K58" s="11"/>
      <c r="L58" s="11" t="s">
        <v>17</v>
      </c>
      <c r="M58" s="7"/>
      <c r="N58" s="15"/>
    </row>
    <row r="59" s="2" customFormat="1" spans="1:14">
      <c r="A59" s="8"/>
      <c r="B59" s="7"/>
      <c r="C59" s="7"/>
      <c r="D59" s="7"/>
      <c r="E59" s="7"/>
      <c r="F59" s="7"/>
      <c r="G59" s="11" t="s">
        <v>18</v>
      </c>
      <c r="H59" s="11"/>
      <c r="I59" s="11" t="s">
        <v>19</v>
      </c>
      <c r="J59" s="11"/>
      <c r="K59" s="11"/>
      <c r="L59" s="11" t="s">
        <v>20</v>
      </c>
      <c r="M59" s="7"/>
      <c r="N59" s="15"/>
    </row>
    <row r="60" s="2" customFormat="1" spans="1:14">
      <c r="A60" s="10" t="s">
        <v>21</v>
      </c>
      <c r="B60" s="11" t="s">
        <v>22</v>
      </c>
      <c r="C60" s="11" t="s">
        <v>23</v>
      </c>
      <c r="D60" s="11" t="s">
        <v>24</v>
      </c>
      <c r="E60" s="11" t="s">
        <v>25</v>
      </c>
      <c r="F60" s="11" t="s">
        <v>26</v>
      </c>
      <c r="G60" s="11" t="s">
        <v>27</v>
      </c>
      <c r="H60" s="11" t="s">
        <v>28</v>
      </c>
      <c r="I60" s="11" t="s">
        <v>29</v>
      </c>
      <c r="J60" s="11" t="s">
        <v>27</v>
      </c>
      <c r="K60" s="11" t="s">
        <v>28</v>
      </c>
      <c r="L60" s="11" t="s">
        <v>29</v>
      </c>
      <c r="M60" s="11" t="s">
        <v>27</v>
      </c>
      <c r="N60" s="16" t="s">
        <v>28</v>
      </c>
    </row>
    <row r="61" s="2" customFormat="1" spans="1:14">
      <c r="A61" s="12" t="s">
        <v>30</v>
      </c>
      <c r="B61" s="12">
        <v>3302001592</v>
      </c>
      <c r="C61" s="12">
        <v>16</v>
      </c>
      <c r="D61" s="12">
        <v>0</v>
      </c>
      <c r="E61" s="12">
        <v>1256</v>
      </c>
      <c r="F61" s="12" t="s">
        <v>31</v>
      </c>
      <c r="G61" s="12"/>
      <c r="H61" s="12">
        <v>16</v>
      </c>
      <c r="I61" s="12">
        <v>16</v>
      </c>
      <c r="J61" s="12">
        <v>16</v>
      </c>
      <c r="K61" s="12">
        <v>16</v>
      </c>
      <c r="L61" s="12">
        <v>16</v>
      </c>
      <c r="M61" s="12">
        <v>16</v>
      </c>
      <c r="N61" s="12">
        <v>16</v>
      </c>
    </row>
    <row r="62" s="2" customFormat="1" spans="1:14">
      <c r="A62" s="13" t="s">
        <v>32</v>
      </c>
      <c r="B62" s="13">
        <v>3302001592</v>
      </c>
      <c r="C62" s="13">
        <v>16</v>
      </c>
      <c r="D62" s="13">
        <v>0</v>
      </c>
      <c r="E62" s="13">
        <v>1256</v>
      </c>
      <c r="F62" s="13" t="s">
        <v>31</v>
      </c>
      <c r="G62" s="13"/>
      <c r="H62" s="13">
        <v>16</v>
      </c>
      <c r="I62" s="13">
        <v>16</v>
      </c>
      <c r="J62" s="13">
        <v>16</v>
      </c>
      <c r="K62" s="13">
        <v>16</v>
      </c>
      <c r="L62" s="13">
        <v>16</v>
      </c>
      <c r="M62" s="13">
        <v>16</v>
      </c>
      <c r="N62" s="13">
        <v>16</v>
      </c>
    </row>
    <row r="63" s="2" customFormat="1" spans="1:14">
      <c r="A63" s="13" t="s">
        <v>33</v>
      </c>
      <c r="B63" s="13">
        <v>3302001592</v>
      </c>
      <c r="C63" s="13">
        <v>16</v>
      </c>
      <c r="D63" s="13">
        <v>0</v>
      </c>
      <c r="E63" s="13">
        <v>1256</v>
      </c>
      <c r="F63" s="13" t="s">
        <v>31</v>
      </c>
      <c r="G63" s="13"/>
      <c r="H63" s="13"/>
      <c r="I63" s="13">
        <v>16</v>
      </c>
      <c r="J63" s="13">
        <v>16</v>
      </c>
      <c r="K63" s="13">
        <v>16</v>
      </c>
      <c r="L63" s="13">
        <v>16</v>
      </c>
      <c r="M63" s="13">
        <v>16</v>
      </c>
      <c r="N63" s="13"/>
    </row>
    <row r="64" s="2" customFormat="1" spans="1:1">
      <c r="A64" s="2" t="s">
        <v>34</v>
      </c>
    </row>
    <row r="65" s="2" customFormat="1" spans="1:1">
      <c r="A65" s="2" t="s">
        <v>44</v>
      </c>
    </row>
    <row r="66" s="2" customFormat="1" spans="1:1">
      <c r="A66" s="2" t="s">
        <v>45</v>
      </c>
    </row>
    <row r="67" s="2" customFormat="1" spans="1:1">
      <c r="A67" s="2" t="s">
        <v>46</v>
      </c>
    </row>
    <row r="68" s="2" customFormat="1" spans="1:1">
      <c r="A68" s="2" t="s">
        <v>47</v>
      </c>
    </row>
    <row r="69" s="2" customFormat="1" spans="1:1">
      <c r="A69" s="2" t="s">
        <v>48</v>
      </c>
    </row>
    <row r="70" s="2" customFormat="1" spans="1:1">
      <c r="A70" s="2" t="s">
        <v>49</v>
      </c>
    </row>
    <row r="71" s="2" customFormat="1"/>
    <row r="72" s="2" customFormat="1"/>
    <row r="73" s="2" customFormat="1" spans="1:14">
      <c r="A73" s="4" t="s">
        <v>8</v>
      </c>
      <c r="B73" s="5"/>
      <c r="C73" s="5"/>
      <c r="D73" s="5"/>
      <c r="E73" s="5"/>
      <c r="F73" s="5"/>
      <c r="G73" s="5"/>
      <c r="H73" s="5"/>
      <c r="I73" s="5"/>
      <c r="J73" s="5"/>
      <c r="K73" s="5"/>
      <c r="L73" s="5"/>
      <c r="M73" s="5"/>
      <c r="N73" s="14"/>
    </row>
    <row r="74" s="2" customFormat="1" spans="1:14">
      <c r="A74" s="6" t="s">
        <v>50</v>
      </c>
      <c r="B74" s="7"/>
      <c r="C74" s="7"/>
      <c r="D74" s="7"/>
      <c r="E74" s="7"/>
      <c r="F74" s="9" t="s">
        <v>10</v>
      </c>
      <c r="G74" s="7">
        <f>G77-D81</f>
        <v>48</v>
      </c>
      <c r="H74" s="7"/>
      <c r="I74" s="7">
        <f>I77+G75</f>
        <v>120</v>
      </c>
      <c r="J74" s="7"/>
      <c r="K74" s="7"/>
      <c r="L74" s="7">
        <f>L77+I75</f>
        <v>120</v>
      </c>
      <c r="M74" s="7"/>
      <c r="N74" s="15"/>
    </row>
    <row r="75" s="2" customFormat="1" spans="1:14">
      <c r="A75" s="8"/>
      <c r="B75" s="9" t="s">
        <v>11</v>
      </c>
      <c r="C75" s="2">
        <v>8</v>
      </c>
      <c r="D75" s="7"/>
      <c r="E75" s="7"/>
      <c r="F75" s="9" t="s">
        <v>12</v>
      </c>
      <c r="G75" s="7">
        <f>G77-G76+C75</f>
        <v>24</v>
      </c>
      <c r="H75" s="7"/>
      <c r="I75" s="7">
        <f>I74-I76</f>
        <v>24</v>
      </c>
      <c r="J75" s="7"/>
      <c r="K75" s="7"/>
      <c r="L75" s="7">
        <f>L74-L76</f>
        <v>24</v>
      </c>
      <c r="M75" s="7"/>
      <c r="N75" s="15"/>
    </row>
    <row r="76" s="2" customFormat="1" spans="1:14">
      <c r="A76" s="8"/>
      <c r="B76" s="7"/>
      <c r="C76" s="7"/>
      <c r="D76" s="7"/>
      <c r="E76" s="7"/>
      <c r="F76" s="9" t="s">
        <v>13</v>
      </c>
      <c r="G76" s="7">
        <f>G81+G82+H81+H82+G83+H83</f>
        <v>32</v>
      </c>
      <c r="H76" s="7"/>
      <c r="I76" s="7">
        <f>I81+J81+K81+I82+J82+K82+I83+J83+K83</f>
        <v>96</v>
      </c>
      <c r="J76" s="7"/>
      <c r="K76" s="7"/>
      <c r="L76" s="7">
        <f>L81+M81+N81+L82+M82+N82+L83+M83+N83</f>
        <v>96</v>
      </c>
      <c r="M76" s="7"/>
      <c r="N76" s="15"/>
    </row>
    <row r="77" s="2" customFormat="1" spans="1:14">
      <c r="A77" s="8"/>
      <c r="B77" s="7"/>
      <c r="C77" s="7"/>
      <c r="D77" s="7"/>
      <c r="E77" s="7"/>
      <c r="F77" s="9" t="s">
        <v>14</v>
      </c>
      <c r="G77" s="7">
        <v>48</v>
      </c>
      <c r="H77" s="7"/>
      <c r="I77" s="7">
        <v>96</v>
      </c>
      <c r="J77" s="7"/>
      <c r="K77" s="7"/>
      <c r="L77" s="7">
        <v>96</v>
      </c>
      <c r="M77" s="7"/>
      <c r="N77" s="15"/>
    </row>
    <row r="78" s="2" customFormat="1" spans="1:14">
      <c r="A78" s="8"/>
      <c r="B78" s="7"/>
      <c r="C78" s="7"/>
      <c r="D78" s="7"/>
      <c r="E78" s="7"/>
      <c r="F78" s="7"/>
      <c r="G78" s="11" t="s">
        <v>15</v>
      </c>
      <c r="H78" s="11"/>
      <c r="I78" s="11" t="s">
        <v>16</v>
      </c>
      <c r="J78" s="11"/>
      <c r="K78" s="11"/>
      <c r="L78" s="11" t="s">
        <v>17</v>
      </c>
      <c r="M78" s="7"/>
      <c r="N78" s="15"/>
    </row>
    <row r="79" s="2" customFormat="1" spans="1:14">
      <c r="A79" s="8"/>
      <c r="B79" s="7"/>
      <c r="C79" s="7"/>
      <c r="D79" s="7"/>
      <c r="E79" s="7"/>
      <c r="F79" s="7"/>
      <c r="G79" s="11" t="s">
        <v>18</v>
      </c>
      <c r="H79" s="11"/>
      <c r="I79" s="11" t="s">
        <v>19</v>
      </c>
      <c r="J79" s="11"/>
      <c r="K79" s="11"/>
      <c r="L79" s="11" t="s">
        <v>20</v>
      </c>
      <c r="M79" s="7"/>
      <c r="N79" s="15"/>
    </row>
    <row r="80" s="2" customFormat="1" spans="1:14">
      <c r="A80" s="10" t="s">
        <v>21</v>
      </c>
      <c r="B80" s="11" t="s">
        <v>22</v>
      </c>
      <c r="C80" s="11" t="s">
        <v>23</v>
      </c>
      <c r="D80" s="11" t="s">
        <v>24</v>
      </c>
      <c r="E80" s="11" t="s">
        <v>25</v>
      </c>
      <c r="F80" s="11" t="s">
        <v>26</v>
      </c>
      <c r="G80" s="11" t="s">
        <v>27</v>
      </c>
      <c r="H80" s="11" t="s">
        <v>28</v>
      </c>
      <c r="I80" s="11" t="s">
        <v>29</v>
      </c>
      <c r="J80" s="11" t="s">
        <v>27</v>
      </c>
      <c r="K80" s="11" t="s">
        <v>28</v>
      </c>
      <c r="L80" s="11" t="s">
        <v>29</v>
      </c>
      <c r="M80" s="11" t="s">
        <v>27</v>
      </c>
      <c r="N80" s="16" t="s">
        <v>28</v>
      </c>
    </row>
    <row r="81" s="2" customFormat="1" spans="1:14">
      <c r="A81" s="17" t="s">
        <v>30</v>
      </c>
      <c r="B81" s="18">
        <v>3302001592</v>
      </c>
      <c r="C81" s="18">
        <v>16</v>
      </c>
      <c r="D81" s="18">
        <v>0</v>
      </c>
      <c r="E81" s="18">
        <v>1256</v>
      </c>
      <c r="F81" s="18" t="s">
        <v>31</v>
      </c>
      <c r="G81" s="18"/>
      <c r="H81" s="18">
        <v>16</v>
      </c>
      <c r="I81" s="18">
        <v>16</v>
      </c>
      <c r="J81" s="18">
        <v>16</v>
      </c>
      <c r="K81" s="18">
        <v>16</v>
      </c>
      <c r="L81" s="18">
        <v>16</v>
      </c>
      <c r="M81" s="18">
        <v>16</v>
      </c>
      <c r="N81" s="19">
        <v>16</v>
      </c>
    </row>
    <row r="82" s="2" customFormat="1" spans="1:14">
      <c r="A82" s="17" t="s">
        <v>32</v>
      </c>
      <c r="B82" s="18">
        <v>3302001592</v>
      </c>
      <c r="C82" s="18">
        <v>16</v>
      </c>
      <c r="D82" s="18">
        <v>0</v>
      </c>
      <c r="E82" s="18">
        <v>1256</v>
      </c>
      <c r="F82" s="18" t="s">
        <v>31</v>
      </c>
      <c r="G82" s="18"/>
      <c r="H82" s="18">
        <v>16</v>
      </c>
      <c r="I82" s="18">
        <v>16</v>
      </c>
      <c r="J82" s="18">
        <v>16</v>
      </c>
      <c r="K82" s="18">
        <v>16</v>
      </c>
      <c r="L82" s="18">
        <v>16</v>
      </c>
      <c r="M82" s="18">
        <v>16</v>
      </c>
      <c r="N82" s="19">
        <v>16</v>
      </c>
    </row>
    <row r="83" s="2" customFormat="1" spans="1:14">
      <c r="A83" s="17"/>
      <c r="B83" s="18"/>
      <c r="C83" s="18"/>
      <c r="D83" s="18"/>
      <c r="E83" s="18"/>
      <c r="F83" s="18"/>
      <c r="G83" s="18"/>
      <c r="H83" s="18"/>
      <c r="I83" s="18"/>
      <c r="J83" s="18"/>
      <c r="K83" s="18"/>
      <c r="L83" s="18"/>
      <c r="M83" s="18"/>
      <c r="N83" s="19"/>
    </row>
    <row r="84" s="2" customFormat="1" spans="1:1">
      <c r="A84" s="2" t="s">
        <v>34</v>
      </c>
    </row>
    <row r="85" s="2" customFormat="1" spans="1:1">
      <c r="A85" s="2" t="s">
        <v>44</v>
      </c>
    </row>
    <row r="86" s="2" customFormat="1" spans="1:1">
      <c r="A86" s="2" t="s">
        <v>51</v>
      </c>
    </row>
    <row r="87" s="2" customFormat="1" spans="1:1">
      <c r="A87" s="2" t="s">
        <v>52</v>
      </c>
    </row>
    <row r="88" s="2" customFormat="1" spans="1:1">
      <c r="A88" s="2" t="s">
        <v>53</v>
      </c>
    </row>
    <row r="89" s="2" customFormat="1" spans="1:1">
      <c r="A89" s="2" t="s">
        <v>54</v>
      </c>
    </row>
    <row r="90" s="2" customFormat="1" spans="1:1">
      <c r="A90" s="2" t="s">
        <v>55</v>
      </c>
    </row>
    <row r="91" s="2" customFormat="1"/>
    <row r="92" s="2" customFormat="1"/>
    <row r="93" s="1" customFormat="1" spans="1:1">
      <c r="A93" s="1" t="s">
        <v>56</v>
      </c>
    </row>
    <row r="94" s="2" customFormat="1"/>
    <row r="95" s="2" customFormat="1"/>
    <row r="96" s="2" customFormat="1" spans="1:14">
      <c r="A96" s="4" t="s">
        <v>57</v>
      </c>
      <c r="B96" s="5"/>
      <c r="C96" s="5"/>
      <c r="D96" s="5"/>
      <c r="E96" s="5"/>
      <c r="F96" s="5"/>
      <c r="G96" s="5"/>
      <c r="H96" s="5"/>
      <c r="I96" s="5"/>
      <c r="J96" s="5"/>
      <c r="K96" s="5"/>
      <c r="L96" s="5"/>
      <c r="M96" s="5"/>
      <c r="N96" s="14"/>
    </row>
    <row r="97" s="2" customFormat="1" spans="1:14">
      <c r="A97" s="6" t="s">
        <v>58</v>
      </c>
      <c r="B97" s="7"/>
      <c r="C97" s="7"/>
      <c r="D97" s="7"/>
      <c r="E97" s="7"/>
      <c r="F97" s="9" t="s">
        <v>10</v>
      </c>
      <c r="G97" s="7">
        <f>G100-D104</f>
        <v>0</v>
      </c>
      <c r="H97" s="7"/>
      <c r="I97" s="7">
        <f>I100+G98</f>
        <v>84</v>
      </c>
      <c r="J97" s="7"/>
      <c r="K97" s="7"/>
      <c r="L97" s="7">
        <f>L100+I98</f>
        <v>36</v>
      </c>
      <c r="M97" s="7"/>
      <c r="N97" s="15"/>
    </row>
    <row r="98" s="2" customFormat="1" spans="1:14">
      <c r="A98" s="8"/>
      <c r="B98" s="9" t="s">
        <v>11</v>
      </c>
      <c r="C98" s="2">
        <v>100</v>
      </c>
      <c r="D98" s="7"/>
      <c r="E98" s="7"/>
      <c r="F98" s="9" t="s">
        <v>12</v>
      </c>
      <c r="G98" s="7">
        <f>G100-G99+C98</f>
        <v>84</v>
      </c>
      <c r="H98" s="7"/>
      <c r="I98" s="7">
        <f>I97-I99</f>
        <v>36</v>
      </c>
      <c r="J98" s="7"/>
      <c r="K98" s="7"/>
      <c r="L98" s="7">
        <f>L97-L99</f>
        <v>0</v>
      </c>
      <c r="M98" s="7"/>
      <c r="N98" s="15"/>
    </row>
    <row r="99" s="2" customFormat="1" spans="1:14">
      <c r="A99" s="8"/>
      <c r="B99" s="7"/>
      <c r="C99" s="7"/>
      <c r="D99" s="7"/>
      <c r="E99" s="7"/>
      <c r="F99" s="9" t="s">
        <v>13</v>
      </c>
      <c r="G99" s="7">
        <f>G104+G105+H104+H105+G106+H106</f>
        <v>16</v>
      </c>
      <c r="H99" s="7"/>
      <c r="I99" s="7">
        <f>I104+J104+K104+I105+J105+K105+I106+J106+K106</f>
        <v>48</v>
      </c>
      <c r="J99" s="7"/>
      <c r="K99" s="7"/>
      <c r="L99" s="7">
        <f>L104+M104+N104+L105+M105+N105+L106+M106+N106</f>
        <v>36</v>
      </c>
      <c r="M99" s="7"/>
      <c r="N99" s="15"/>
    </row>
    <row r="100" s="2" customFormat="1" spans="1:14">
      <c r="A100" s="8"/>
      <c r="B100" s="7"/>
      <c r="C100" s="7"/>
      <c r="D100" s="7"/>
      <c r="E100" s="7"/>
      <c r="F100" s="9" t="s">
        <v>14</v>
      </c>
      <c r="G100" s="7">
        <v>0</v>
      </c>
      <c r="H100" s="7"/>
      <c r="I100" s="7">
        <v>0</v>
      </c>
      <c r="J100" s="7"/>
      <c r="K100" s="7"/>
      <c r="L100" s="7">
        <v>0</v>
      </c>
      <c r="M100" s="7"/>
      <c r="N100" s="15"/>
    </row>
    <row r="101" s="2" customFormat="1" spans="1:14">
      <c r="A101" s="8"/>
      <c r="B101" s="7"/>
      <c r="C101" s="7"/>
      <c r="D101" s="7"/>
      <c r="E101" s="7"/>
      <c r="F101" s="7"/>
      <c r="G101" s="11" t="s">
        <v>15</v>
      </c>
      <c r="H101" s="11"/>
      <c r="I101" s="11" t="s">
        <v>16</v>
      </c>
      <c r="J101" s="11"/>
      <c r="K101" s="11"/>
      <c r="L101" s="11" t="s">
        <v>17</v>
      </c>
      <c r="M101" s="7"/>
      <c r="N101" s="15"/>
    </row>
    <row r="102" s="2" customFormat="1" spans="1:14">
      <c r="A102" s="8"/>
      <c r="B102" s="7"/>
      <c r="C102" s="7"/>
      <c r="D102" s="7"/>
      <c r="E102" s="7"/>
      <c r="F102" s="7"/>
      <c r="G102" s="11" t="s">
        <v>18</v>
      </c>
      <c r="H102" s="11"/>
      <c r="I102" s="11" t="s">
        <v>19</v>
      </c>
      <c r="J102" s="11"/>
      <c r="K102" s="11"/>
      <c r="L102" s="11" t="s">
        <v>20</v>
      </c>
      <c r="M102" s="7"/>
      <c r="N102" s="15"/>
    </row>
    <row r="103" s="2" customFormat="1" spans="1:14">
      <c r="A103" s="10" t="s">
        <v>21</v>
      </c>
      <c r="B103" s="11" t="s">
        <v>22</v>
      </c>
      <c r="C103" s="11" t="s">
        <v>23</v>
      </c>
      <c r="D103" s="11" t="s">
        <v>24</v>
      </c>
      <c r="E103" s="11" t="s">
        <v>25</v>
      </c>
      <c r="F103" s="11" t="s">
        <v>26</v>
      </c>
      <c r="G103" s="11" t="s">
        <v>27</v>
      </c>
      <c r="H103" s="11" t="s">
        <v>28</v>
      </c>
      <c r="I103" s="11" t="s">
        <v>29</v>
      </c>
      <c r="J103" s="11" t="s">
        <v>27</v>
      </c>
      <c r="K103" s="11" t="s">
        <v>28</v>
      </c>
      <c r="L103" s="11" t="s">
        <v>29</v>
      </c>
      <c r="M103" s="11" t="s">
        <v>27</v>
      </c>
      <c r="N103" s="16" t="s">
        <v>28</v>
      </c>
    </row>
    <row r="104" s="2" customFormat="1" spans="1:14">
      <c r="A104" s="17" t="s">
        <v>30</v>
      </c>
      <c r="B104" s="18">
        <v>3302001592</v>
      </c>
      <c r="C104" s="18">
        <v>16</v>
      </c>
      <c r="D104" s="18">
        <v>0</v>
      </c>
      <c r="E104" s="18">
        <v>100</v>
      </c>
      <c r="F104" s="18" t="s">
        <v>31</v>
      </c>
      <c r="G104" s="18"/>
      <c r="H104" s="18">
        <v>16</v>
      </c>
      <c r="I104" s="18">
        <v>16</v>
      </c>
      <c r="J104" s="18">
        <v>16</v>
      </c>
      <c r="K104" s="18">
        <v>16</v>
      </c>
      <c r="L104" s="18">
        <v>16</v>
      </c>
      <c r="M104" s="18">
        <v>16</v>
      </c>
      <c r="N104" s="19">
        <v>4</v>
      </c>
    </row>
    <row r="105" s="2" customFormat="1" spans="1:14">
      <c r="A105" s="17"/>
      <c r="B105" s="18"/>
      <c r="C105" s="18"/>
      <c r="D105" s="18"/>
      <c r="E105" s="18"/>
      <c r="F105" s="18"/>
      <c r="G105" s="18"/>
      <c r="H105" s="18"/>
      <c r="I105" s="18"/>
      <c r="J105" s="18"/>
      <c r="K105" s="18"/>
      <c r="L105" s="18"/>
      <c r="M105" s="18"/>
      <c r="N105" s="19"/>
    </row>
    <row r="106" s="2" customFormat="1" spans="1:14">
      <c r="A106" s="17"/>
      <c r="B106" s="18"/>
      <c r="C106" s="18"/>
      <c r="D106" s="18"/>
      <c r="E106" s="18"/>
      <c r="F106" s="18"/>
      <c r="G106" s="18"/>
      <c r="H106" s="18"/>
      <c r="I106" s="18"/>
      <c r="J106" s="18"/>
      <c r="K106" s="18"/>
      <c r="L106" s="18"/>
      <c r="M106" s="18"/>
      <c r="N106" s="19"/>
    </row>
    <row r="107" s="2" customFormat="1" spans="1:1">
      <c r="A107" s="2" t="s">
        <v>34</v>
      </c>
    </row>
    <row r="108" s="2" customFormat="1" spans="1:1">
      <c r="A108" s="2" t="s">
        <v>59</v>
      </c>
    </row>
    <row r="109" s="2" customFormat="1" spans="1:1">
      <c r="A109" s="2" t="s">
        <v>60</v>
      </c>
    </row>
    <row r="110" s="2" customFormat="1"/>
    <row r="111" s="2" customFormat="1"/>
    <row r="112" s="2" customFormat="1"/>
    <row r="113" s="2" customFormat="1"/>
    <row r="114" s="1" customFormat="1" spans="1:1">
      <c r="A114" s="1" t="s">
        <v>61</v>
      </c>
    </row>
    <row r="115" s="2" customFormat="1"/>
    <row r="116" s="2" customFormat="1"/>
    <row r="117" s="2" customFormat="1" spans="1:14">
      <c r="A117" s="4" t="s">
        <v>8</v>
      </c>
      <c r="B117" s="5"/>
      <c r="C117" s="5"/>
      <c r="D117" s="5"/>
      <c r="E117" s="5"/>
      <c r="F117" s="5"/>
      <c r="G117" s="5"/>
      <c r="H117" s="5"/>
      <c r="I117" s="5"/>
      <c r="J117" s="5"/>
      <c r="K117" s="5"/>
      <c r="L117" s="5"/>
      <c r="M117" s="5"/>
      <c r="N117" s="14"/>
    </row>
    <row r="118" s="2" customFormat="1" spans="1:14">
      <c r="A118" s="6" t="s">
        <v>62</v>
      </c>
      <c r="B118" s="7"/>
      <c r="C118" s="7"/>
      <c r="D118" s="7"/>
      <c r="E118" s="7"/>
      <c r="F118" s="9" t="s">
        <v>10</v>
      </c>
      <c r="G118" s="7">
        <f>G121-D125</f>
        <v>0</v>
      </c>
      <c r="H118" s="7"/>
      <c r="I118" s="7">
        <f>I121+G119</f>
        <v>84</v>
      </c>
      <c r="J118" s="7"/>
      <c r="K118" s="7"/>
      <c r="L118" s="7">
        <f>L121+I119</f>
        <v>36</v>
      </c>
      <c r="M118" s="7"/>
      <c r="N118" s="15"/>
    </row>
    <row r="119" s="2" customFormat="1" spans="1:14">
      <c r="A119" s="8"/>
      <c r="B119" s="9" t="s">
        <v>11</v>
      </c>
      <c r="C119" s="2">
        <v>100</v>
      </c>
      <c r="D119" s="7"/>
      <c r="E119" s="7"/>
      <c r="F119" s="9" t="s">
        <v>12</v>
      </c>
      <c r="G119" s="7">
        <f>G121-G120+C119</f>
        <v>84</v>
      </c>
      <c r="H119" s="7"/>
      <c r="I119" s="7">
        <f>I118-I120</f>
        <v>36</v>
      </c>
      <c r="J119" s="7"/>
      <c r="K119" s="7"/>
      <c r="L119" s="7">
        <f>L118-L120</f>
        <v>0</v>
      </c>
      <c r="M119" s="7"/>
      <c r="N119" s="15"/>
    </row>
    <row r="120" s="2" customFormat="1" spans="1:14">
      <c r="A120" s="8"/>
      <c r="B120" s="7"/>
      <c r="C120" s="7"/>
      <c r="D120" s="7"/>
      <c r="E120" s="7"/>
      <c r="F120" s="9" t="s">
        <v>13</v>
      </c>
      <c r="G120" s="7">
        <f>G125+G126+H125+H126+G127+H127</f>
        <v>16</v>
      </c>
      <c r="H120" s="7"/>
      <c r="I120" s="7">
        <f>I125+J125+K125+I126+J126+K126+I127+J127+K127</f>
        <v>48</v>
      </c>
      <c r="J120" s="7"/>
      <c r="K120" s="7"/>
      <c r="L120" s="7">
        <f>L125+M125+N125+L126+M126+N126+L127+M127+N127</f>
        <v>36</v>
      </c>
      <c r="M120" s="7"/>
      <c r="N120" s="15"/>
    </row>
    <row r="121" s="2" customFormat="1" spans="1:14">
      <c r="A121" s="8"/>
      <c r="B121" s="7"/>
      <c r="C121" s="7"/>
      <c r="D121" s="7"/>
      <c r="E121" s="7"/>
      <c r="F121" s="9" t="s">
        <v>14</v>
      </c>
      <c r="G121" s="7">
        <v>0</v>
      </c>
      <c r="H121" s="7"/>
      <c r="I121" s="7">
        <v>0</v>
      </c>
      <c r="J121" s="7"/>
      <c r="K121" s="7"/>
      <c r="L121" s="7">
        <v>0</v>
      </c>
      <c r="M121" s="7"/>
      <c r="N121" s="15"/>
    </row>
    <row r="122" s="2" customFormat="1" spans="1:14">
      <c r="A122" s="8"/>
      <c r="B122" s="7"/>
      <c r="C122" s="7"/>
      <c r="D122" s="7"/>
      <c r="E122" s="7"/>
      <c r="F122" s="7"/>
      <c r="G122" s="11" t="s">
        <v>15</v>
      </c>
      <c r="H122" s="11"/>
      <c r="I122" s="11" t="s">
        <v>16</v>
      </c>
      <c r="J122" s="11"/>
      <c r="K122" s="11"/>
      <c r="L122" s="11" t="s">
        <v>17</v>
      </c>
      <c r="M122" s="7"/>
      <c r="N122" s="15"/>
    </row>
    <row r="123" s="2" customFormat="1" spans="1:14">
      <c r="A123" s="8"/>
      <c r="B123" s="7"/>
      <c r="C123" s="7"/>
      <c r="D123" s="7"/>
      <c r="E123" s="7"/>
      <c r="F123" s="7"/>
      <c r="G123" s="11" t="s">
        <v>18</v>
      </c>
      <c r="H123" s="11"/>
      <c r="I123" s="11" t="s">
        <v>19</v>
      </c>
      <c r="J123" s="11"/>
      <c r="K123" s="11"/>
      <c r="L123" s="11" t="s">
        <v>20</v>
      </c>
      <c r="M123" s="7"/>
      <c r="N123" s="15"/>
    </row>
    <row r="124" s="2" customFormat="1" spans="1:14">
      <c r="A124" s="10" t="s">
        <v>21</v>
      </c>
      <c r="B124" s="11" t="s">
        <v>22</v>
      </c>
      <c r="C124" s="11" t="s">
        <v>23</v>
      </c>
      <c r="D124" s="11" t="s">
        <v>24</v>
      </c>
      <c r="E124" s="11" t="s">
        <v>25</v>
      </c>
      <c r="F124" s="11" t="s">
        <v>26</v>
      </c>
      <c r="G124" s="11" t="s">
        <v>27</v>
      </c>
      <c r="H124" s="11" t="s">
        <v>28</v>
      </c>
      <c r="I124" s="11" t="s">
        <v>29</v>
      </c>
      <c r="J124" s="11" t="s">
        <v>27</v>
      </c>
      <c r="K124" s="11" t="s">
        <v>28</v>
      </c>
      <c r="L124" s="11" t="s">
        <v>29</v>
      </c>
      <c r="M124" s="11" t="s">
        <v>27</v>
      </c>
      <c r="N124" s="16" t="s">
        <v>28</v>
      </c>
    </row>
    <row r="125" s="2" customFormat="1" spans="1:15">
      <c r="A125" s="17" t="s">
        <v>30</v>
      </c>
      <c r="B125" s="18">
        <v>3302001592</v>
      </c>
      <c r="C125" s="18">
        <v>16</v>
      </c>
      <c r="D125" s="18">
        <v>0</v>
      </c>
      <c r="E125" s="18">
        <v>200</v>
      </c>
      <c r="F125" s="18" t="s">
        <v>31</v>
      </c>
      <c r="G125" s="18"/>
      <c r="H125" s="18">
        <v>16</v>
      </c>
      <c r="I125" s="18">
        <v>16</v>
      </c>
      <c r="J125" s="18">
        <v>16</v>
      </c>
      <c r="K125" s="18">
        <v>16</v>
      </c>
      <c r="L125" s="18">
        <v>16</v>
      </c>
      <c r="M125" s="18">
        <v>16</v>
      </c>
      <c r="N125" s="19">
        <v>4</v>
      </c>
      <c r="O125" s="2" t="s">
        <v>63</v>
      </c>
    </row>
    <row r="126" s="2" customFormat="1" spans="1:14">
      <c r="A126" s="17"/>
      <c r="B126" s="18"/>
      <c r="C126" s="18"/>
      <c r="D126" s="18"/>
      <c r="E126" s="18"/>
      <c r="F126" s="18"/>
      <c r="G126" s="18"/>
      <c r="H126" s="18"/>
      <c r="I126" s="18"/>
      <c r="J126" s="18"/>
      <c r="K126" s="18"/>
      <c r="L126" s="18"/>
      <c r="M126" s="18"/>
      <c r="N126" s="19"/>
    </row>
    <row r="127" s="2" customFormat="1" spans="1:14">
      <c r="A127" s="17"/>
      <c r="B127" s="18"/>
      <c r="C127" s="18"/>
      <c r="D127" s="18"/>
      <c r="E127" s="18"/>
      <c r="F127" s="18"/>
      <c r="G127" s="18"/>
      <c r="H127" s="18"/>
      <c r="I127" s="18"/>
      <c r="J127" s="18"/>
      <c r="K127" s="18"/>
      <c r="L127" s="18"/>
      <c r="M127" s="18"/>
      <c r="N127" s="19"/>
    </row>
    <row r="128" s="2" customFormat="1" spans="1:1">
      <c r="A128" s="2" t="s">
        <v>34</v>
      </c>
    </row>
    <row r="129" spans="1:1">
      <c r="A129" s="2" t="s">
        <v>64</v>
      </c>
    </row>
    <row r="130" spans="1:1">
      <c r="A130" s="2" t="s">
        <v>65</v>
      </c>
    </row>
    <row r="131" spans="1:1">
      <c r="A131" t="s">
        <v>66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增机台逻辑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yongh</dc:creator>
  <cp:lastModifiedBy>漫漫</cp:lastModifiedBy>
  <dcterms:created xsi:type="dcterms:W3CDTF">2026-05-29T09:26:00Z</dcterms:created>
  <dcterms:modified xsi:type="dcterms:W3CDTF">2026-06-02T18:55:22Z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CB3AC109402C49AC9976B763F73D2938_13</vt:lpwstr>
  </property>
  <property fmtid="{D5CDD505-2E9C-101B-9397-08002B2CF9AE}" pid="3" name="KSOProductBuildVer">
    <vt:lpwstr>2052-4.1.0.6538</vt:lpwstr>
  </property>
  <property fmtid="{D5CDD505-2E9C-101B-9397-08002B2CF9AE}" pid="4" name="CalculationRule">
    <vt:i4>1</vt:i4>
  </property>
</Properties>
</file>